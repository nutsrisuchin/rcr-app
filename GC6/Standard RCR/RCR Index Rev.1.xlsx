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N:\T-II\04 T-II-IP2\01.Admin-General\1.6 Welding QA\STD RCR\AR1\"/>
    </mc:Choice>
  </mc:AlternateContent>
  <xr:revisionPtr revIDLastSave="0" documentId="13_ncr:1_{192D5837-26D7-4759-BC1A-770B8E3E4C8E}" xr6:coauthVersionLast="47" xr6:coauthVersionMax="47" xr10:uidLastSave="{00000000-0000-0000-0000-000000000000}"/>
  <bookViews>
    <workbookView xWindow="28680" yWindow="6315" windowWidth="29040" windowHeight="15720" xr2:uid="{00000000-000D-0000-FFFF-FFFF00000000}"/>
  </bookViews>
  <sheets>
    <sheet name="total (2)" sheetId="2" r:id="rId1"/>
  </sheets>
  <definedNames>
    <definedName name="_xlnm._FilterDatabase" localSheetId="0" hidden="1">'total (2)'!$F$1:$H$163</definedName>
    <definedName name="_xlnm.Print_Titles" localSheetId="0">'total (2)'!$1:$2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41" i="2" l="1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09" i="2"/>
  <c r="T95" i="2"/>
  <c r="T94" i="2"/>
  <c r="T93" i="2"/>
  <c r="T92" i="2"/>
  <c r="T91" i="2"/>
  <c r="T90" i="2"/>
  <c r="T89" i="2"/>
  <c r="T88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2" i="2"/>
  <c r="T61" i="2"/>
  <c r="T59" i="2"/>
  <c r="T58" i="2"/>
  <c r="T57" i="2"/>
  <c r="T56" i="2"/>
  <c r="T55" i="2"/>
  <c r="T52" i="2"/>
  <c r="T51" i="2"/>
  <c r="T50" i="2"/>
  <c r="T49" i="2"/>
  <c r="T48" i="2"/>
  <c r="T47" i="2"/>
  <c r="T46" i="2"/>
  <c r="T45" i="2"/>
  <c r="T44" i="2"/>
  <c r="T43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6" i="2"/>
  <c r="T5" i="2"/>
  <c r="T4" i="2"/>
  <c r="T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suchartb</author>
  </authors>
  <commentList>
    <comment ref="B3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A2, Design only 8.7 kg/cm2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5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Design only 8.7 kg/cm2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2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Cat line can we hydro ?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5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 xml:space="preserve">Cat line can we hydro ?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43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Cat line can we hydro ?</t>
        </r>
      </text>
    </comment>
    <comment ref="B124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>Catalyst can we hydro ?  Internal bore has to grind smooth !!!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<sst xmlns="http://schemas.openxmlformats.org/spreadsheetml/2006/main" count="1344" uniqueCount="412">
  <si>
    <t>RCR NO</t>
  </si>
  <si>
    <t>Pipe material and P-Number</t>
  </si>
  <si>
    <t>NDT</t>
  </si>
  <si>
    <t xml:space="preserve">Temp </t>
  </si>
  <si>
    <t>Pressure Design</t>
  </si>
  <si>
    <t>Pressure test</t>
  </si>
  <si>
    <t>PWHT</t>
  </si>
  <si>
    <t xml:space="preserve">Test pressure of each diameter </t>
  </si>
  <si>
    <t>Serveices</t>
  </si>
  <si>
    <t xml:space="preserve">RT </t>
  </si>
  <si>
    <t>UT</t>
  </si>
  <si>
    <t>MPI</t>
  </si>
  <si>
    <t>DPI</t>
  </si>
  <si>
    <t>HT</t>
  </si>
  <si>
    <t>PMI</t>
  </si>
  <si>
    <t>VT</t>
  </si>
  <si>
    <t>(C)</t>
  </si>
  <si>
    <t>(barg)</t>
  </si>
  <si>
    <t>API 5L-B</t>
  </si>
  <si>
    <t>-</t>
  </si>
  <si>
    <t>YES</t>
  </si>
  <si>
    <t>HC,HC w/dry H2S</t>
  </si>
  <si>
    <t>11015Y</t>
  </si>
  <si>
    <t>A106-B, SOUR</t>
  </si>
  <si>
    <t>HC w/dry H2S, HC w/H2 (pp&gt;7 barg very toxic, 0.1-30 vol. % H2S)</t>
  </si>
  <si>
    <t>HC, Fuel gas</t>
  </si>
  <si>
    <t>11021Y</t>
  </si>
  <si>
    <t>A106-B</t>
  </si>
  <si>
    <t>HC w/dry H2S, ( very toxic, 0.1-30 vol. % H2S)</t>
  </si>
  <si>
    <t>HC w/dry H2S</t>
  </si>
  <si>
    <t>11051Y</t>
  </si>
  <si>
    <t>HC ( very toxic, 0.1-30 vol. % H2S)</t>
  </si>
  <si>
    <t>11055X</t>
  </si>
  <si>
    <t>HC w/dry H2S, HC w/H2 , Stripped water, Flare gas</t>
  </si>
  <si>
    <t>11055Y</t>
  </si>
  <si>
    <t>HC w/wet H2S, HC w/H2 &amp; wet H2S, sour water (pp&gt;7 barg very toxic, 0.1-30 vol. % H2S)</t>
  </si>
  <si>
    <t>11060Y</t>
  </si>
  <si>
    <t>HC w/dry H2S  (pp&gt;7 barg very toxic, 0.1-30 vol. % H2S)</t>
  </si>
  <si>
    <t>11070X</t>
  </si>
  <si>
    <t>HC w/H2 (pp&gt;7 barg)</t>
  </si>
  <si>
    <t>Instrument air,Industial air, Nitrogen</t>
  </si>
  <si>
    <t>11125R</t>
  </si>
  <si>
    <t>HC w/wet H2S, Solvent (ADIP), ( very toxic, 0.1-30 vol. % H2S)</t>
  </si>
  <si>
    <t>11125X</t>
  </si>
  <si>
    <t>YES(ADIP)</t>
  </si>
  <si>
    <t>HC w/wet H2S, Solvent (ADIP), PWHT for service  ADIP</t>
  </si>
  <si>
    <t>11125Y</t>
  </si>
  <si>
    <t>11125Z</t>
  </si>
  <si>
    <t>HC w/wet H2S, Solvent (ADIP)</t>
  </si>
  <si>
    <t>11126X</t>
  </si>
  <si>
    <t>HC w/wet H2S, sour water</t>
  </si>
  <si>
    <t>11126Y</t>
  </si>
  <si>
    <t>HC w/wet H2S, sour water ( very toxic, 0.1-30 vol. % H2S)</t>
  </si>
  <si>
    <t>11140X</t>
  </si>
  <si>
    <t>HC</t>
  </si>
  <si>
    <t>11140Y</t>
  </si>
  <si>
    <t>HC w/dry H2S  ( very toxic, 0.1-30 vol. % H2S)</t>
  </si>
  <si>
    <t>A333-6 LT</t>
  </si>
  <si>
    <t>LPG</t>
  </si>
  <si>
    <t>Cooling water, Service water,Fire water, ODS/AOC</t>
  </si>
  <si>
    <t>LPS, steam cond., tempered water</t>
  </si>
  <si>
    <t>Caustic (NaOH)-10% concetration 50% max. concentration</t>
  </si>
  <si>
    <t>Caustic (NaOH) 50% max. concentration</t>
  </si>
  <si>
    <t>12040X</t>
  </si>
  <si>
    <t>5Cr 0.5Mo P5B</t>
  </si>
  <si>
    <t>12040Y</t>
  </si>
  <si>
    <t>13020X</t>
  </si>
  <si>
    <t xml:space="preserve">316L SS </t>
  </si>
  <si>
    <t>Process Condensate-sour w/CO2 saturated</t>
  </si>
  <si>
    <t>Process Condensate-sour w/CO2 saturated, Lube oil, Demineralized</t>
  </si>
  <si>
    <t>13030Y</t>
  </si>
  <si>
    <t>HC w/wet H2S, ( very toxic, 0.1-30 vol. % H2S)</t>
  </si>
  <si>
    <t>13035X</t>
  </si>
  <si>
    <t>13035Y</t>
  </si>
  <si>
    <t>13057Y</t>
  </si>
  <si>
    <t>321SS stab.</t>
  </si>
  <si>
    <t>( very toxic, 0.1-30 vol. % H2S)</t>
  </si>
  <si>
    <t>Monel 400 (P42)</t>
  </si>
  <si>
    <t>Caustic</t>
  </si>
  <si>
    <t>Hastelloy B2 (Ni-Mo alloy)</t>
  </si>
  <si>
    <t>HCl</t>
  </si>
  <si>
    <t>16070X</t>
  </si>
  <si>
    <t>Fire water-fresh undergound</t>
  </si>
  <si>
    <t>Galn. St. API 5L-B</t>
  </si>
  <si>
    <t xml:space="preserve">Potable water-fresh aboveground / underground </t>
  </si>
  <si>
    <t>18030X</t>
  </si>
  <si>
    <t>API 5L-B Cement Lined</t>
  </si>
  <si>
    <t>Ballast water</t>
  </si>
  <si>
    <t>API 5L-B Rubber Lined</t>
  </si>
  <si>
    <t>*</t>
  </si>
  <si>
    <t xml:space="preserve"> * means 1"-6" is 15 and 8"-12" is 9 barg.</t>
  </si>
  <si>
    <t xml:space="preserve">API 5L-B  Galn. St. </t>
  </si>
  <si>
    <t>31010X</t>
  </si>
  <si>
    <t>HC,HC w/dry H2S, HC w/ H2 (pp&lt;7 barg), Gas oil, Cooling water.</t>
  </si>
  <si>
    <t>31015X</t>
  </si>
  <si>
    <t>HC w/wet H2S</t>
  </si>
  <si>
    <t>31015Y</t>
  </si>
  <si>
    <t>HC w/wet H2S (very toxic, 0.1-30 Vol. % H2S)</t>
  </si>
  <si>
    <t>31015Z</t>
  </si>
  <si>
    <t>Solvent (Adip)</t>
  </si>
  <si>
    <t>HC wash water (H2S traces)</t>
  </si>
  <si>
    <t>31050X</t>
  </si>
  <si>
    <t xml:space="preserve">HC,HC w/dry H2S, HC w/ H2 </t>
  </si>
  <si>
    <t>31051L</t>
  </si>
  <si>
    <t>HC w/wet H2S (very toxic, &gt; = 30 Vol. % H2S)</t>
  </si>
  <si>
    <t>31055L</t>
  </si>
  <si>
    <t>31055X</t>
  </si>
  <si>
    <t>Wash water, Sour water</t>
  </si>
  <si>
    <t>31055Y</t>
  </si>
  <si>
    <t>HC w/wet H2S, HC w/ wet H2S and H2 (pp&lt;7 barg), Sour water, Wash water (very toxic, 0.1-30 vol. % H2S)</t>
  </si>
  <si>
    <t>31060Y</t>
  </si>
  <si>
    <t>HC w/ H2S, H2 (pp&lt;7 barg, very toxic, 0.1-30 vol. % H2S)</t>
  </si>
  <si>
    <t>31070X</t>
  </si>
  <si>
    <t>HC w/ H2 (pp&lt;7 barg),  H2 (pp&lt;7 barg)</t>
  </si>
  <si>
    <t>31075X</t>
  </si>
  <si>
    <t>HC w/ H2 (pp&lt;7 barg) and wet  H2S</t>
  </si>
  <si>
    <t>31076X</t>
  </si>
  <si>
    <t>31125R</t>
  </si>
  <si>
    <t>HC w/ H2S, Solvent (Adip, very toxic, 0.1-30 vol. % H2S)</t>
  </si>
  <si>
    <t>31125X</t>
  </si>
  <si>
    <t>HC w/ wet H2S, Solvent (PWHT for Adip service)</t>
  </si>
  <si>
    <t>31125Y</t>
  </si>
  <si>
    <t>HC w/ wet H2S, Solvent (PWHT for Adip service, very toxic, 0.1-30 vol. % H2S)</t>
  </si>
  <si>
    <t>31125Z</t>
  </si>
  <si>
    <t>HC w/ wet H2S, Solvent (Adip)</t>
  </si>
  <si>
    <t>31126L</t>
  </si>
  <si>
    <t>HC w/ wet H2S (very toxic, &gt;=30 vol. % H2S)</t>
  </si>
  <si>
    <t>31126Y</t>
  </si>
  <si>
    <t>HC w/ wet H2S, sour water (very toxic, &gt;=30 vol. % H2S)</t>
  </si>
  <si>
    <t>31170X</t>
  </si>
  <si>
    <t>HC w/ H2 (pp&lt;7 barg) and LPG</t>
  </si>
  <si>
    <t>31175X</t>
  </si>
  <si>
    <t>A333-6 LT, SOUR</t>
  </si>
  <si>
    <t>HC w/ H2S (Vol %H2S &lt;0.1) and LPG</t>
  </si>
  <si>
    <t>31260X</t>
  </si>
  <si>
    <t>Steam, Condensate</t>
  </si>
  <si>
    <t>31370X</t>
  </si>
  <si>
    <t xml:space="preserve">* means 1/2"-3" 75, 4"-6" is 63 barg. </t>
  </si>
  <si>
    <t>Caustic (NaOH)-10% concetration  solvent</t>
  </si>
  <si>
    <t>32040H</t>
  </si>
  <si>
    <t>HC w/ H2 (pp&lt;7 barg) , H2 (pp&lt;7 barg)</t>
  </si>
  <si>
    <t>32040X</t>
  </si>
  <si>
    <t>32040Y</t>
  </si>
  <si>
    <t>HC w/ wet H2S (very toxic, 0.1-30 vol. % H2S)</t>
  </si>
  <si>
    <t>32040Z</t>
  </si>
  <si>
    <t>HC (very toxic, 0.1-30 vol. % H2S)</t>
  </si>
  <si>
    <t>32120X</t>
  </si>
  <si>
    <t>1.25Cr 0.5Mo P4</t>
  </si>
  <si>
    <t>HC w/ H2 (pp&gt;=7 barg) , HOT AIR</t>
  </si>
  <si>
    <t>33020X</t>
  </si>
  <si>
    <t>Seal oil (downstream filter) sour condensate</t>
  </si>
  <si>
    <t>33035L</t>
  </si>
  <si>
    <t xml:space="preserve">(very toxic, &gt;=-30 vol. % H2S) sour service </t>
  </si>
  <si>
    <t>33035X</t>
  </si>
  <si>
    <t xml:space="preserve">Wet H2S w/ lean solvent </t>
  </si>
  <si>
    <t>33050H</t>
  </si>
  <si>
    <t>321/347SS</t>
  </si>
  <si>
    <t>HC w/ H2 (pp&lt;7 barg) and sour CO2 gas</t>
  </si>
  <si>
    <t>33050Y</t>
  </si>
  <si>
    <t>HC w/ H2 (pp&gt;=7 barg) , (very toxic, 0.1-30 vol. % H2S)</t>
  </si>
  <si>
    <t>33355L</t>
  </si>
  <si>
    <t xml:space="preserve">A312-254SMO SS </t>
  </si>
  <si>
    <t>(very toxic, &gt;=30 vol. % H2S)</t>
  </si>
  <si>
    <t>61010X</t>
  </si>
  <si>
    <t>HC w/ wet H2S (Vol % H2S &lt; 0.1)</t>
  </si>
  <si>
    <t>61015Y</t>
  </si>
  <si>
    <t>HC w/ wet H2S Sour water</t>
  </si>
  <si>
    <t>61055Y</t>
  </si>
  <si>
    <t>HC w/ H2 (pp&lt;7 barg), HC w/ wet H2S (very toxic, 0.1-30 vol. % H2S)</t>
  </si>
  <si>
    <t>HC w/ H2 (pp&lt;7 barg), HC w/ H2S and H2 (pp&lt;7 barg)</t>
  </si>
  <si>
    <t xml:space="preserve">HC w/ H2 (pp&lt;7 barg), HC w/ wet H2S </t>
  </si>
  <si>
    <t>HC w/ H2 (pp&lt;7 barg), HC w/ wet H2S (CA = 3.0 mm)</t>
  </si>
  <si>
    <t>HC w/ H2 (pp&lt;7 barg), LPG</t>
  </si>
  <si>
    <t>61260X</t>
  </si>
  <si>
    <t>Steam, condensate</t>
  </si>
  <si>
    <t>61370X</t>
  </si>
  <si>
    <t>Caustic (NaOH)</t>
  </si>
  <si>
    <t>62020X</t>
  </si>
  <si>
    <t>I.P. steam</t>
  </si>
  <si>
    <t>2.25Cr 1Mo P5A</t>
  </si>
  <si>
    <t>HC w/ H2 (pp&lt;7 barg)</t>
  </si>
  <si>
    <t>62120X</t>
  </si>
  <si>
    <t>63020X</t>
  </si>
  <si>
    <t>Dimethyl disulfite, (DMDS) seal water, Glycol</t>
  </si>
  <si>
    <t>63050H</t>
  </si>
  <si>
    <t xml:space="preserve">* means 1/2"-6" 154, 8" is 135,  10" is 125, 12" is 108 and 14"-20" is 85 barg. </t>
  </si>
  <si>
    <t>HC w/ H2 (pp&gt;=7 barg) , HC w/ H2S</t>
  </si>
  <si>
    <t>321SS Stab.</t>
  </si>
  <si>
    <t>HC w/ H2 (pp&gt;=7 barg) , HC w/ H2S (very toxic, 0.1-30 vol. % H2S)</t>
  </si>
  <si>
    <t xml:space="preserve">* means 1/2"-10" 150, 12" is 145,  14"-18" is 115, and 20"-24" is 105 barg. </t>
  </si>
  <si>
    <t>91010X</t>
  </si>
  <si>
    <t xml:space="preserve">HC W/ DRY H2S </t>
  </si>
  <si>
    <t>91060Y</t>
  </si>
  <si>
    <t>HC W/ DRY H2S (very toxic, 0.1-30 vol. % H2S)</t>
  </si>
  <si>
    <t xml:space="preserve">HC w/ H2 (pp&gt;=7 barg) </t>
  </si>
  <si>
    <t>91260X</t>
  </si>
  <si>
    <t>93050H</t>
  </si>
  <si>
    <t>151010X</t>
  </si>
  <si>
    <t xml:space="preserve">HC /Phosphate/HC W/ DRY H2S </t>
  </si>
  <si>
    <t>151055Y</t>
  </si>
  <si>
    <t>HC W/ wet H2S sour water, wash water (very toxic, 0.1-30 vol. % H2S)</t>
  </si>
  <si>
    <t xml:space="preserve">HC w/ H2 (pp&gt;=7 barg) , HC w/ H2S </t>
  </si>
  <si>
    <t xml:space="preserve">HC w/ H2 (pp&gt;=7 barg) , HC w/ wet H2S </t>
  </si>
  <si>
    <t>151260X</t>
  </si>
  <si>
    <t>Boiler feed water</t>
  </si>
  <si>
    <t>151370X</t>
  </si>
  <si>
    <t>Caustic (NaOH)10% concentration</t>
  </si>
  <si>
    <t>Lube / seal oil Phosphate</t>
  </si>
  <si>
    <t>153020H</t>
  </si>
  <si>
    <t>251010X</t>
  </si>
  <si>
    <t>251260X</t>
  </si>
  <si>
    <t>252DA</t>
  </si>
  <si>
    <t>A335 P91</t>
  </si>
  <si>
    <t>253355L</t>
  </si>
  <si>
    <t>A312-254SMO SS</t>
  </si>
  <si>
    <t>1PR-3</t>
  </si>
  <si>
    <t>1PR-4</t>
  </si>
  <si>
    <t>1PR-5</t>
  </si>
  <si>
    <t>Inconel 600 P43</t>
  </si>
  <si>
    <t>1PR-7</t>
  </si>
  <si>
    <t>1PR-8</t>
  </si>
  <si>
    <t>1RPC-04</t>
  </si>
  <si>
    <t>3PR-1</t>
  </si>
  <si>
    <t>3PR-2</t>
  </si>
  <si>
    <t>3PR-6</t>
  </si>
  <si>
    <t>3PR-23</t>
  </si>
  <si>
    <t>3PR-24</t>
  </si>
  <si>
    <t>304H SS</t>
  </si>
  <si>
    <t>3RPC-01</t>
  </si>
  <si>
    <t>6RPC-01</t>
  </si>
  <si>
    <t>15RPC-01</t>
  </si>
  <si>
    <t>25PR-5</t>
  </si>
  <si>
    <t>25PR-9</t>
  </si>
  <si>
    <t>25RPC-01</t>
  </si>
  <si>
    <t>F11055X</t>
  </si>
  <si>
    <t>A671-CC65, SOUR</t>
  </si>
  <si>
    <t>J1RPC-02</t>
  </si>
  <si>
    <t>J3RPC-02</t>
  </si>
  <si>
    <t>J3RPC-05</t>
  </si>
  <si>
    <t>P no.</t>
  </si>
  <si>
    <t>B2</t>
  </si>
  <si>
    <t>Galn</t>
  </si>
  <si>
    <t>CL</t>
  </si>
  <si>
    <t>RL</t>
  </si>
  <si>
    <t>5B</t>
  </si>
  <si>
    <t>SMO</t>
  </si>
  <si>
    <t>5A</t>
  </si>
  <si>
    <t>CC65</t>
  </si>
  <si>
    <t>Incoloy 800 P45</t>
  </si>
  <si>
    <t>LXC12</t>
  </si>
  <si>
    <t>NXC4</t>
  </si>
  <si>
    <t>NXB12</t>
  </si>
  <si>
    <t>MXD4</t>
  </si>
  <si>
    <t>LXD5</t>
  </si>
  <si>
    <t>TI27</t>
  </si>
  <si>
    <t>TUXC31</t>
  </si>
  <si>
    <t>UXD17</t>
  </si>
  <si>
    <t>UXC14</t>
  </si>
  <si>
    <t>UXB14</t>
  </si>
  <si>
    <t>TUXE11</t>
  </si>
  <si>
    <t>TLXC26, TLXC27</t>
  </si>
  <si>
    <t>A4</t>
  </si>
  <si>
    <t>B3</t>
  </si>
  <si>
    <t>A2, B7</t>
  </si>
  <si>
    <t>B9</t>
  </si>
  <si>
    <t>B2, B10</t>
  </si>
  <si>
    <t>B1, B11</t>
  </si>
  <si>
    <t>B15</t>
  </si>
  <si>
    <t>C2, C3</t>
  </si>
  <si>
    <t>C8</t>
  </si>
  <si>
    <t>C11</t>
  </si>
  <si>
    <t>TB17</t>
  </si>
  <si>
    <t>TB21</t>
  </si>
  <si>
    <t>C6, TC19</t>
  </si>
  <si>
    <t>TC20</t>
  </si>
  <si>
    <t>TC22</t>
  </si>
  <si>
    <t xml:space="preserve"> </t>
  </si>
  <si>
    <t>TF2</t>
  </si>
  <si>
    <t>TC32, TC33</t>
  </si>
  <si>
    <t>PUN Line Class</t>
  </si>
  <si>
    <t>D1, TD28</t>
  </si>
  <si>
    <t>TB38, TUXB31</t>
  </si>
  <si>
    <t>TE7, E1, TE10</t>
  </si>
  <si>
    <t>Notes:</t>
  </si>
  <si>
    <t>3) Including branch welds for run pipe upto 4" dia. &gt;4" dia run pipe branch welds shall be MT/PT'd</t>
  </si>
  <si>
    <t>4) The test pressure for D3 class steam lines shall be 115 kg/cm2 to avoid overstressing of steam traps.  The reduced test pressure still complies with ANSI B31.3.</t>
  </si>
  <si>
    <t>5) STD RCR no. 17 deleted because combinded with no.18</t>
  </si>
  <si>
    <t>1) Caution - Upto 24" (600mm) dia. (generally) and against closed welded in valves may change. CHECK with Inspector for clarification</t>
  </si>
  <si>
    <t>2) If piping thickness is &gt;19mm then ASME B31.1 requires PWHT and additional NDT. CHECK with Inspector for clarification</t>
  </si>
  <si>
    <t>B5, B8, TB32</t>
  </si>
  <si>
    <t>D3, TD13, D1, TD28</t>
  </si>
  <si>
    <t>D11</t>
  </si>
  <si>
    <t>Amine, sour water</t>
  </si>
  <si>
    <t xml:space="preserve">* means 1/2"-3" 75, 4"-6" is 63 and 8"-30" is 46.5 barg. </t>
  </si>
  <si>
    <t xml:space="preserve">* means 1/2"-2" 75, 3"-4" is 63,  6" is 46.5 and 8"-24" is 31.5 barg. </t>
  </si>
  <si>
    <t xml:space="preserve">* means 1/2"-3" 75, 4"-6" is 63 and 8"-24" is 46.5 barg. </t>
  </si>
  <si>
    <t xml:space="preserve">* means 1/2"-2" 72, 3"-4" is 63,  6"-10" is 46.5 barg. </t>
  </si>
  <si>
    <t>Catalyst W/N2</t>
  </si>
  <si>
    <t>Liquid sulphur W/H2S</t>
  </si>
  <si>
    <t>Sour offgas W/H2S (very toxic &gt;= 30 vol %))</t>
  </si>
  <si>
    <t>Flare gas</t>
  </si>
  <si>
    <t>Catalyst W/H2 (pp &lt; 7 barg)</t>
  </si>
  <si>
    <t>HC W/H2 (pp &lt; 7 barg)</t>
  </si>
  <si>
    <t>AR2/3</t>
  </si>
  <si>
    <t>AR1 Line Class</t>
  </si>
  <si>
    <t>MS-11</t>
  </si>
  <si>
    <t>MS-12</t>
  </si>
  <si>
    <t>MS-13</t>
  </si>
  <si>
    <t>MS-1, MS-2</t>
  </si>
  <si>
    <t>MS-26</t>
  </si>
  <si>
    <t>wet H2S, Corrosive process</t>
  </si>
  <si>
    <t>N1A1</t>
  </si>
  <si>
    <t>C</t>
  </si>
  <si>
    <t>B7</t>
  </si>
  <si>
    <t>Material</t>
  </si>
  <si>
    <t xml:space="preserve">Valve
 Internal </t>
  </si>
  <si>
    <t>Bolt 
Materials</t>
  </si>
  <si>
    <t>Temp
 Range</t>
  </si>
  <si>
    <t>-20/400</t>
  </si>
  <si>
    <t>410/316</t>
  </si>
  <si>
    <t>B7M</t>
  </si>
  <si>
    <t>-20/200</t>
  </si>
  <si>
    <t>410</t>
  </si>
  <si>
    <t>-20/425</t>
  </si>
  <si>
    <t>316</t>
  </si>
  <si>
    <t>L7</t>
  </si>
  <si>
    <t>-50/150</t>
  </si>
  <si>
    <t>-20/60</t>
  </si>
  <si>
    <t>-20/110</t>
  </si>
  <si>
    <t>B16</t>
  </si>
  <si>
    <t>0/450</t>
  </si>
  <si>
    <t>0/425</t>
  </si>
  <si>
    <t>0/200</t>
  </si>
  <si>
    <t>321 STAB&amp;STELLITE</t>
  </si>
  <si>
    <r>
      <t xml:space="preserve">321 </t>
    </r>
    <r>
      <rPr>
        <sz val="8"/>
        <rFont val="Times New Roman"/>
        <family val="1"/>
      </rPr>
      <t>STAB&amp;STELLITE</t>
    </r>
  </si>
  <si>
    <t>0/400</t>
  </si>
  <si>
    <t>MONEL</t>
  </si>
  <si>
    <t>0/150</t>
  </si>
  <si>
    <t>494</t>
  </si>
  <si>
    <t>0/427</t>
  </si>
  <si>
    <t>0/100</t>
  </si>
  <si>
    <t>RUBBER LINE</t>
  </si>
  <si>
    <t>0/45</t>
  </si>
  <si>
    <t>0/80</t>
  </si>
  <si>
    <t>B148/RUBBER LINED</t>
  </si>
  <si>
    <t>B148</t>
  </si>
  <si>
    <t>-20/300</t>
  </si>
  <si>
    <t>316&amp;STELLITE</t>
  </si>
  <si>
    <t>316&amp;
STELLITE</t>
  </si>
  <si>
    <t>-50/200</t>
  </si>
  <si>
    <t>L7M</t>
  </si>
  <si>
    <t>-50/340</t>
  </si>
  <si>
    <t>-20/120</t>
  </si>
  <si>
    <t>0/500</t>
  </si>
  <si>
    <t>-20/550</t>
  </si>
  <si>
    <t>321&amp;
STELLITE</t>
  </si>
  <si>
    <t>321</t>
  </si>
  <si>
    <t>410&amp;
STELLITE</t>
  </si>
  <si>
    <t>0/605</t>
  </si>
  <si>
    <t>660</t>
  </si>
  <si>
    <t>0/538</t>
  </si>
  <si>
    <t>-20/80</t>
  </si>
  <si>
    <t>Hydrocarbons</t>
  </si>
  <si>
    <t>Hydrocarbons W/H2 (pp&gt;=7barg,) Hydrocarbon W/Wet H2S (very toxic, 0.1-30 VOL.% H2S)</t>
  </si>
  <si>
    <t>b7</t>
  </si>
  <si>
    <t>FULL STELLITE</t>
  </si>
  <si>
    <t>0/550</t>
  </si>
  <si>
    <t>H.P. STEAM</t>
  </si>
  <si>
    <t>--</t>
  </si>
  <si>
    <t>Lube / seal oil</t>
  </si>
  <si>
    <t>NICKEL W/STELLITE</t>
  </si>
  <si>
    <t>0/700</t>
  </si>
  <si>
    <t>PROCESS HOT GAS</t>
  </si>
  <si>
    <t>CY-40</t>
  </si>
  <si>
    <t>0/455</t>
  </si>
  <si>
    <t>(very toxic, 0.1-30 VOL.% H2S)</t>
  </si>
  <si>
    <t>STELLITE</t>
  </si>
  <si>
    <t>Catalyst</t>
  </si>
  <si>
    <t>0/565</t>
  </si>
  <si>
    <t>CHLORINATION GAS</t>
  </si>
  <si>
    <t>NICKEL W/STELLITE,410</t>
  </si>
  <si>
    <t>316/410</t>
  </si>
  <si>
    <t>Sour water W/wet H2S , Caustic (NH3) (very toxic, 0.1-30 VOL.% H2S)</t>
  </si>
  <si>
    <t>VERY TOXIC</t>
  </si>
  <si>
    <t>RCR Golden Weld NO</t>
  </si>
  <si>
    <t>Service Test</t>
  </si>
  <si>
    <r>
      <t xml:space="preserve">THK. </t>
    </r>
    <r>
      <rPr>
        <b/>
        <sz val="10"/>
        <rFont val="Calibri"/>
        <family val="2"/>
      </rPr>
      <t>≤</t>
    </r>
    <r>
      <rPr>
        <b/>
        <sz val="11.5"/>
        <rFont val="Arial"/>
        <family val="2"/>
      </rPr>
      <t xml:space="preserve"> </t>
    </r>
    <r>
      <rPr>
        <b/>
        <sz val="10"/>
        <rFont val="Arial"/>
        <family val="2"/>
      </rPr>
      <t>20 mm</t>
    </r>
  </si>
  <si>
    <r>
      <t xml:space="preserve">THK. </t>
    </r>
    <r>
      <rPr>
        <b/>
        <sz val="10"/>
        <rFont val="Calibri"/>
        <family val="2"/>
      </rPr>
      <t>&gt;</t>
    </r>
    <r>
      <rPr>
        <b/>
        <sz val="11.5"/>
        <rFont val="Arial"/>
        <family val="2"/>
      </rPr>
      <t xml:space="preserve"> </t>
    </r>
    <r>
      <rPr>
        <b/>
        <sz val="10"/>
        <rFont val="Arial"/>
        <family val="2"/>
      </rPr>
      <t>20 mm</t>
    </r>
  </si>
  <si>
    <t>RCR-GW-01</t>
  </si>
  <si>
    <t>RCR-GW-05</t>
  </si>
  <si>
    <t>RCR-GW-04</t>
  </si>
  <si>
    <t>RCR-GW-02</t>
  </si>
  <si>
    <t>RCR-GW-03</t>
  </si>
  <si>
    <t>RCR-GW-10</t>
  </si>
  <si>
    <t>RCR-GW-11</t>
  </si>
  <si>
    <t>RCR-GW-06</t>
  </si>
  <si>
    <t>RCR-GW-07</t>
  </si>
  <si>
    <t>RCR-GW-08</t>
  </si>
  <si>
    <t>RCR-GW-09</t>
  </si>
  <si>
    <t>RCR-GW-12</t>
  </si>
  <si>
    <t>RCR-GW-13</t>
  </si>
  <si>
    <t>RCR-GW-15</t>
  </si>
  <si>
    <t>RCR-GW-14</t>
  </si>
  <si>
    <t>FT</t>
  </si>
  <si>
    <t>3-9%</t>
  </si>
  <si>
    <t>XXX</t>
  </si>
  <si>
    <t>13035H</t>
  </si>
  <si>
    <t>63035H</t>
  </si>
  <si>
    <t>32090X</t>
  </si>
  <si>
    <t>A335 P9</t>
  </si>
  <si>
    <t>100X</t>
  </si>
  <si>
    <t>61125X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</si>
</sst>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4"/>
      <name val="Cordia New"/>
      <charset val="222"/>
    </font>
    <font>
      <b/>
      <sz val="9"/>
      <name val="Times New Roman"/>
      <family val="1"/>
    </font>
    <font>
      <sz val="9"/>
      <name val="Times New Roman"/>
      <family val="1"/>
    </font>
    <font>
      <u/>
      <sz val="14"/>
      <color indexed="12"/>
      <name val="Cordia New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color indexed="10"/>
      <name val="Times New Roman"/>
      <family val="1"/>
    </font>
    <font>
      <b/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8"/>
      <name val="Times New Roman"/>
      <family val="1"/>
    </font>
    <font>
      <b/>
      <sz val="10"/>
      <name val="Calibri"/>
      <family val="2"/>
    </font>
    <font>
      <b/>
      <sz val="11.5"/>
      <name val="Arial"/>
      <family val="2"/>
    </font>
    <font>
      <b/>
      <u/>
      <sz val="14"/>
      <color indexed="12"/>
      <name val="Cordia New"/>
      <family val="2"/>
    </font>
    <font>
      <sz val="9"/>
      <color rgb="FFFF0000"/>
      <name val="Times New Roman"/>
      <family val="1"/>
    </font>
    <font>
      <b/>
      <u/>
      <sz val="10"/>
      <color rgb="FFFF0000"/>
      <name val="Arial"/>
      <family val="2"/>
      <charset val="222"/>
    </font>
    <font>
      <sz val="9"/>
      <color rgb="FFFF0000"/>
      <name val="Times New Roman"/>
      <family val="1"/>
      <charset val="222"/>
    </font>
    <font>
      <u/>
      <sz val="14"/>
      <color rgb="FFFF0000"/>
      <name val="Cordia New"/>
      <family val="2"/>
      <charset val="222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4D0FA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38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9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9" fontId="2" fillId="0" borderId="1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justify" wrapText="1"/>
    </xf>
    <xf numFmtId="0" fontId="1" fillId="2" borderId="2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horizontal="center" vertical="top" wrapText="1"/>
    </xf>
    <xf numFmtId="9" fontId="2" fillId="0" borderId="4" xfId="0" applyNumberFormat="1" applyFont="1" applyBorder="1" applyAlignment="1">
      <alignment horizontal="center" vertical="top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2" fillId="2" borderId="4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justify" wrapText="1"/>
    </xf>
    <xf numFmtId="0" fontId="9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left" vertical="justify" wrapText="1"/>
    </xf>
    <xf numFmtId="0" fontId="2" fillId="0" borderId="12" xfId="0" applyFont="1" applyBorder="1" applyAlignment="1">
      <alignment horizontal="left" vertical="justify" wrapText="1"/>
    </xf>
    <xf numFmtId="0" fontId="2" fillId="0" borderId="13" xfId="0" applyFont="1" applyBorder="1" applyAlignment="1">
      <alignment horizontal="left" vertical="justify" wrapText="1"/>
    </xf>
    <xf numFmtId="0" fontId="11" fillId="0" borderId="14" xfId="1" applyFont="1" applyFill="1" applyBorder="1" applyAlignment="1" applyProtection="1">
      <alignment horizontal="center" vertical="top"/>
    </xf>
    <xf numFmtId="0" fontId="11" fillId="0" borderId="15" xfId="1" applyFont="1" applyFill="1" applyBorder="1" applyAlignment="1" applyProtection="1">
      <alignment horizontal="center"/>
    </xf>
    <xf numFmtId="0" fontId="11" fillId="4" borderId="14" xfId="1" applyFont="1" applyFill="1" applyBorder="1" applyAlignment="1" applyProtection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9" fontId="2" fillId="4" borderId="1" xfId="0" applyNumberFormat="1" applyFont="1" applyFill="1" applyBorder="1" applyAlignment="1">
      <alignment horizontal="center" vertical="top"/>
    </xf>
    <xf numFmtId="9" fontId="2" fillId="4" borderId="1" xfId="0" applyNumberFormat="1" applyFont="1" applyFill="1" applyBorder="1" applyAlignment="1">
      <alignment horizontal="center" vertical="top" wrapText="1"/>
    </xf>
    <xf numFmtId="0" fontId="2" fillId="4" borderId="13" xfId="0" applyFont="1" applyFill="1" applyBorder="1" applyAlignment="1">
      <alignment horizontal="left" vertical="justify" wrapText="1"/>
    </xf>
    <xf numFmtId="0" fontId="0" fillId="4" borderId="1" xfId="0" applyFill="1" applyBorder="1"/>
    <xf numFmtId="0" fontId="2" fillId="5" borderId="16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 wrapText="1"/>
    </xf>
    <xf numFmtId="9" fontId="2" fillId="5" borderId="1" xfId="0" applyNumberFormat="1" applyFont="1" applyFill="1" applyBorder="1" applyAlignment="1">
      <alignment horizontal="center" vertical="top"/>
    </xf>
    <xf numFmtId="0" fontId="2" fillId="5" borderId="13" xfId="0" applyFont="1" applyFill="1" applyBorder="1" applyAlignment="1">
      <alignment horizontal="left" vertical="justify" wrapText="1"/>
    </xf>
    <xf numFmtId="0" fontId="0" fillId="0" borderId="1" xfId="0" applyBorder="1"/>
    <xf numFmtId="9" fontId="2" fillId="0" borderId="0" xfId="0" applyNumberFormat="1" applyFont="1" applyAlignment="1">
      <alignment horizontal="center" vertical="top"/>
    </xf>
    <xf numFmtId="0" fontId="9" fillId="0" borderId="8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11" fillId="0" borderId="17" xfId="1" applyFont="1" applyFill="1" applyBorder="1" applyAlignment="1" applyProtection="1">
      <alignment horizontal="center" vertical="center"/>
    </xf>
    <xf numFmtId="0" fontId="11" fillId="0" borderId="18" xfId="1" applyFont="1" applyFill="1" applyBorder="1" applyAlignment="1" applyProtection="1">
      <alignment horizontal="center" vertical="center"/>
    </xf>
    <xf numFmtId="0" fontId="1" fillId="0" borderId="19" xfId="0" applyFont="1" applyBorder="1" applyAlignment="1">
      <alignment horizontal="center" vertical="top" wrapText="1"/>
    </xf>
    <xf numFmtId="0" fontId="2" fillId="5" borderId="20" xfId="0" applyFont="1" applyFill="1" applyBorder="1" applyAlignment="1">
      <alignment horizontal="center" vertical="top" wrapText="1"/>
    </xf>
    <xf numFmtId="0" fontId="2" fillId="4" borderId="20" xfId="0" applyFont="1" applyFill="1" applyBorder="1" applyAlignment="1">
      <alignment horizontal="center" vertical="top" wrapText="1"/>
    </xf>
    <xf numFmtId="49" fontId="2" fillId="0" borderId="21" xfId="0" applyNumberFormat="1" applyFont="1" applyBorder="1" applyAlignment="1">
      <alignment horizontal="center" vertical="top" wrapText="1"/>
    </xf>
    <xf numFmtId="49" fontId="2" fillId="0" borderId="20" xfId="0" applyNumberFormat="1" applyFont="1" applyBorder="1" applyAlignment="1">
      <alignment horizontal="center" vertical="top" wrapText="1"/>
    </xf>
    <xf numFmtId="2" fontId="9" fillId="0" borderId="22" xfId="0" applyNumberFormat="1" applyFont="1" applyBorder="1" applyAlignment="1">
      <alignment horizontal="center" vertical="top" wrapText="1"/>
    </xf>
    <xf numFmtId="0" fontId="11" fillId="0" borderId="23" xfId="1" applyFont="1" applyFill="1" applyBorder="1" applyAlignment="1" applyProtection="1">
      <alignment horizontal="center" vertical="center"/>
    </xf>
    <xf numFmtId="0" fontId="11" fillId="0" borderId="24" xfId="1" applyFont="1" applyFill="1" applyBorder="1" applyAlignment="1" applyProtection="1">
      <alignment horizontal="center" vertical="center"/>
    </xf>
    <xf numFmtId="0" fontId="11" fillId="6" borderId="23" xfId="1" applyFont="1" applyFill="1" applyBorder="1" applyAlignment="1" applyProtection="1">
      <alignment horizontal="center" vertical="center"/>
    </xf>
    <xf numFmtId="0" fontId="11" fillId="6" borderId="24" xfId="1" applyFont="1" applyFill="1" applyBorder="1" applyAlignment="1" applyProtection="1">
      <alignment horizontal="center" vertical="center"/>
    </xf>
    <xf numFmtId="0" fontId="11" fillId="0" borderId="0" xfId="1" applyFont="1" applyAlignment="1" applyProtection="1">
      <alignment horizontal="center"/>
    </xf>
    <xf numFmtId="0" fontId="3" fillId="5" borderId="14" xfId="1" applyFill="1" applyBorder="1" applyAlignment="1" applyProtection="1">
      <alignment horizontal="center" vertical="center"/>
    </xf>
    <xf numFmtId="0" fontId="3" fillId="4" borderId="14" xfId="1" applyFill="1" applyBorder="1" applyAlignment="1" applyProtection="1">
      <alignment horizontal="center" vertical="top"/>
    </xf>
    <xf numFmtId="9" fontId="16" fillId="6" borderId="1" xfId="0" applyNumberFormat="1" applyFont="1" applyFill="1" applyBorder="1" applyAlignment="1">
      <alignment horizontal="center" vertical="top"/>
    </xf>
    <xf numFmtId="16" fontId="2" fillId="7" borderId="1" xfId="0" applyNumberFormat="1" applyFont="1" applyFill="1" applyBorder="1" applyAlignment="1">
      <alignment horizontal="center" vertical="top"/>
    </xf>
    <xf numFmtId="9" fontId="2" fillId="7" borderId="1" xfId="0" applyNumberFormat="1" applyFont="1" applyFill="1" applyBorder="1" applyAlignment="1">
      <alignment horizontal="center" vertical="top"/>
    </xf>
    <xf numFmtId="9" fontId="2" fillId="7" borderId="1" xfId="0" applyNumberFormat="1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/>
    </xf>
    <xf numFmtId="0" fontId="17" fillId="0" borderId="18" xfId="1" applyFont="1" applyFill="1" applyBorder="1" applyAlignment="1" applyProtection="1">
      <alignment horizontal="center" vertical="center"/>
    </xf>
    <xf numFmtId="0" fontId="18" fillId="3" borderId="1" xfId="0" applyFont="1" applyFill="1" applyBorder="1" applyAlignment="1">
      <alignment horizontal="center" vertical="top"/>
    </xf>
    <xf numFmtId="0" fontId="18" fillId="0" borderId="1" xfId="0" applyFont="1" applyBorder="1" applyAlignment="1">
      <alignment horizontal="center" vertical="top"/>
    </xf>
    <xf numFmtId="0" fontId="18" fillId="0" borderId="1" xfId="0" applyFont="1" applyBorder="1" applyAlignment="1">
      <alignment vertical="top" wrapText="1"/>
    </xf>
    <xf numFmtId="0" fontId="18" fillId="0" borderId="1" xfId="0" applyFont="1" applyBorder="1" applyAlignment="1">
      <alignment horizontal="center" vertical="top" wrapText="1"/>
    </xf>
    <xf numFmtId="9" fontId="18" fillId="0" borderId="1" xfId="0" applyNumberFormat="1" applyFont="1" applyBorder="1" applyAlignment="1">
      <alignment horizontal="center" vertical="top"/>
    </xf>
    <xf numFmtId="9" fontId="18" fillId="7" borderId="1" xfId="0" applyNumberFormat="1" applyFont="1" applyFill="1" applyBorder="1" applyAlignment="1">
      <alignment horizontal="center" vertical="top"/>
    </xf>
    <xf numFmtId="49" fontId="18" fillId="0" borderId="20" xfId="0" applyNumberFormat="1" applyFont="1" applyBorder="1" applyAlignment="1">
      <alignment horizontal="center" vertical="top" wrapText="1"/>
    </xf>
    <xf numFmtId="0" fontId="18" fillId="0" borderId="13" xfId="0" applyFont="1" applyBorder="1" applyAlignment="1">
      <alignment horizontal="left" vertical="justify" wrapText="1"/>
    </xf>
    <xf numFmtId="0" fontId="18" fillId="0" borderId="0" xfId="0" applyFont="1" applyAlignment="1">
      <alignment vertical="top"/>
    </xf>
    <xf numFmtId="0" fontId="18" fillId="2" borderId="1" xfId="0" applyFont="1" applyFill="1" applyBorder="1" applyAlignment="1">
      <alignment horizontal="center" vertical="top"/>
    </xf>
    <xf numFmtId="0" fontId="19" fillId="4" borderId="14" xfId="1" applyFont="1" applyFill="1" applyBorder="1" applyAlignment="1" applyProtection="1">
      <alignment horizontal="center" vertical="top"/>
    </xf>
    <xf numFmtId="0" fontId="18" fillId="4" borderId="1" xfId="0" applyFont="1" applyFill="1" applyBorder="1" applyAlignment="1">
      <alignment horizontal="center" vertical="top"/>
    </xf>
    <xf numFmtId="0" fontId="18" fillId="4" borderId="1" xfId="0" applyFont="1" applyFill="1" applyBorder="1" applyAlignment="1">
      <alignment vertical="top" wrapText="1"/>
    </xf>
    <xf numFmtId="0" fontId="18" fillId="4" borderId="1" xfId="0" applyFont="1" applyFill="1" applyBorder="1" applyAlignment="1">
      <alignment horizontal="center" vertical="top" wrapText="1"/>
    </xf>
    <xf numFmtId="9" fontId="18" fillId="4" borderId="1" xfId="0" applyNumberFormat="1" applyFont="1" applyFill="1" applyBorder="1" applyAlignment="1">
      <alignment horizontal="center" vertical="top"/>
    </xf>
    <xf numFmtId="9" fontId="18" fillId="4" borderId="1" xfId="0" applyNumberFormat="1" applyFont="1" applyFill="1" applyBorder="1" applyAlignment="1">
      <alignment horizontal="center" vertical="top" wrapText="1"/>
    </xf>
    <xf numFmtId="0" fontId="18" fillId="4" borderId="20" xfId="0" applyFont="1" applyFill="1" applyBorder="1" applyAlignment="1">
      <alignment horizontal="center" vertical="top" wrapText="1"/>
    </xf>
    <xf numFmtId="0" fontId="18" fillId="4" borderId="13" xfId="0" applyFont="1" applyFill="1" applyBorder="1" applyAlignment="1">
      <alignment horizontal="left" vertical="justify" wrapText="1"/>
    </xf>
    <xf numFmtId="9" fontId="2" fillId="7" borderId="31" xfId="0" applyNumberFormat="1" applyFont="1" applyFill="1" applyBorder="1" applyAlignment="1">
      <alignment horizontal="center" vertical="top"/>
    </xf>
    <xf numFmtId="9" fontId="2" fillId="7" borderId="32" xfId="0" applyNumberFormat="1" applyFont="1" applyFill="1" applyBorder="1" applyAlignment="1">
      <alignment horizontal="center" vertical="top"/>
    </xf>
    <xf numFmtId="9" fontId="2" fillId="7" borderId="16" xfId="0" applyNumberFormat="1" applyFont="1" applyFill="1" applyBorder="1" applyAlignment="1">
      <alignment horizontal="center" vertical="top"/>
    </xf>
    <xf numFmtId="0" fontId="2" fillId="2" borderId="31" xfId="0" applyFont="1" applyFill="1" applyBorder="1" applyAlignment="1">
      <alignment horizontal="center" vertical="top"/>
    </xf>
    <xf numFmtId="0" fontId="2" fillId="2" borderId="32" xfId="0" applyFont="1" applyFill="1" applyBorder="1" applyAlignment="1">
      <alignment horizontal="center" vertical="top"/>
    </xf>
    <xf numFmtId="0" fontId="2" fillId="2" borderId="16" xfId="0" applyFont="1" applyFill="1" applyBorder="1" applyAlignment="1">
      <alignment horizontal="center" vertical="top"/>
    </xf>
    <xf numFmtId="0" fontId="11" fillId="0" borderId="14" xfId="1" applyFont="1" applyFill="1" applyBorder="1" applyAlignment="1" applyProtection="1">
      <alignment horizontal="center" vertical="center"/>
    </xf>
    <xf numFmtId="0" fontId="11" fillId="0" borderId="23" xfId="1" applyFont="1" applyFill="1" applyBorder="1" applyAlignment="1" applyProtection="1">
      <alignment horizontal="center" vertical="center"/>
    </xf>
    <xf numFmtId="0" fontId="11" fillId="0" borderId="24" xfId="1" applyFont="1" applyFill="1" applyBorder="1" applyAlignment="1" applyProtection="1">
      <alignment horizontal="center" vertical="center"/>
    </xf>
    <xf numFmtId="0" fontId="11" fillId="0" borderId="31" xfId="1" applyFont="1" applyFill="1" applyBorder="1" applyAlignment="1" applyProtection="1">
      <alignment horizontal="center" vertical="center"/>
    </xf>
    <xf numFmtId="0" fontId="11" fillId="0" borderId="16" xfId="1" applyFont="1" applyFill="1" applyBorder="1" applyAlignment="1" applyProtection="1">
      <alignment horizontal="center" vertical="center"/>
    </xf>
    <xf numFmtId="0" fontId="11" fillId="0" borderId="25" xfId="1" applyFont="1" applyFill="1" applyBorder="1" applyAlignment="1" applyProtection="1">
      <alignment horizontal="center" vertical="center"/>
    </xf>
    <xf numFmtId="0" fontId="11" fillId="0" borderId="26" xfId="1" applyFont="1" applyFill="1" applyBorder="1" applyAlignment="1" applyProtection="1">
      <alignment horizontal="center" vertical="center"/>
    </xf>
    <xf numFmtId="0" fontId="11" fillId="0" borderId="27" xfId="1" applyFont="1" applyFill="1" applyBorder="1" applyAlignment="1" applyProtection="1">
      <alignment horizontal="center" vertical="center"/>
    </xf>
    <xf numFmtId="0" fontId="11" fillId="0" borderId="28" xfId="1" applyFont="1" applyFill="1" applyBorder="1" applyAlignment="1" applyProtection="1">
      <alignment horizontal="center" vertical="center"/>
    </xf>
    <xf numFmtId="0" fontId="11" fillId="0" borderId="33" xfId="1" applyFont="1" applyFill="1" applyBorder="1" applyAlignment="1" applyProtection="1">
      <alignment horizontal="center" vertical="center"/>
    </xf>
    <xf numFmtId="0" fontId="11" fillId="0" borderId="34" xfId="1" applyFont="1" applyFill="1" applyBorder="1" applyAlignment="1" applyProtection="1">
      <alignment horizontal="center" vertical="center"/>
    </xf>
    <xf numFmtId="0" fontId="1" fillId="0" borderId="35" xfId="0" applyFont="1" applyBorder="1" applyAlignment="1">
      <alignment horizontal="center" vertical="top" wrapText="1"/>
    </xf>
    <xf numFmtId="0" fontId="1" fillId="0" borderId="36" xfId="0" applyFont="1" applyBorder="1" applyAlignment="1">
      <alignment horizontal="center" vertical="top" wrapText="1"/>
    </xf>
    <xf numFmtId="0" fontId="1" fillId="0" borderId="37" xfId="0" applyFont="1" applyBorder="1" applyAlignment="1">
      <alignment horizontal="center" vertical="top" wrapText="1"/>
    </xf>
    <xf numFmtId="0" fontId="3" fillId="0" borderId="14" xfId="1" applyFill="1" applyBorder="1" applyAlignment="1" applyProtection="1">
      <alignment horizontal="center" vertical="center"/>
    </xf>
    <xf numFmtId="0" fontId="11" fillId="0" borderId="28" xfId="1" applyFont="1" applyBorder="1" applyAlignment="1" applyProtection="1"/>
    <xf numFmtId="0" fontId="11" fillId="0" borderId="30" xfId="1" applyFont="1" applyBorder="1" applyAlignment="1" applyProtection="1"/>
    <xf numFmtId="0" fontId="2" fillId="2" borderId="31" xfId="0" applyFont="1" applyFill="1" applyBorder="1" applyAlignment="1">
      <alignment horizontal="center" vertical="top" wrapText="1"/>
    </xf>
    <xf numFmtId="0" fontId="2" fillId="2" borderId="32" xfId="0" applyFont="1" applyFill="1" applyBorder="1" applyAlignment="1">
      <alignment horizontal="center" vertical="top" wrapText="1"/>
    </xf>
    <xf numFmtId="0" fontId="2" fillId="2" borderId="16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 wrapText="1"/>
    </xf>
    <xf numFmtId="0" fontId="9" fillId="0" borderId="8" xfId="0" applyFont="1" applyBorder="1" applyAlignment="1">
      <alignment horizontal="center" vertical="top" wrapText="1"/>
    </xf>
    <xf numFmtId="0" fontId="11" fillId="0" borderId="38" xfId="1" applyFont="1" applyFill="1" applyBorder="1" applyAlignment="1" applyProtection="1">
      <alignment horizontal="center" vertical="center"/>
    </xf>
    <xf numFmtId="0" fontId="11" fillId="0" borderId="39" xfId="1" applyFont="1" applyFill="1" applyBorder="1" applyAlignment="1" applyProtection="1">
      <alignment horizontal="center" vertical="center"/>
    </xf>
    <xf numFmtId="0" fontId="6" fillId="2" borderId="31" xfId="0" applyFont="1" applyFill="1" applyBorder="1" applyAlignment="1">
      <alignment horizontal="center" vertical="top"/>
    </xf>
    <xf numFmtId="0" fontId="6" fillId="2" borderId="32" xfId="0" applyFont="1" applyFill="1" applyBorder="1" applyAlignment="1">
      <alignment horizontal="center" vertical="top"/>
    </xf>
    <xf numFmtId="0" fontId="6" fillId="2" borderId="16" xfId="0" applyFont="1" applyFill="1" applyBorder="1" applyAlignment="1">
      <alignment horizontal="center" vertical="top"/>
    </xf>
    <xf numFmtId="0" fontId="15" fillId="0" borderId="40" xfId="1" applyFont="1" applyFill="1" applyBorder="1" applyAlignment="1" applyProtection="1">
      <alignment horizontal="center" vertical="center"/>
    </xf>
    <xf numFmtId="0" fontId="15" fillId="0" borderId="14" xfId="1" applyFont="1" applyFill="1" applyBorder="1" applyAlignment="1" applyProtection="1">
      <alignment horizontal="center" vertical="center"/>
    </xf>
    <xf numFmtId="0" fontId="11" fillId="0" borderId="29" xfId="1" applyFont="1" applyFill="1" applyBorder="1" applyAlignment="1" applyProtection="1">
      <alignment horizontal="center" vertical="center"/>
    </xf>
    <xf numFmtId="0" fontId="11" fillId="0" borderId="30" xfId="1" applyFont="1" applyFill="1" applyBorder="1" applyAlignment="1" applyProtection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RCR-STD-17.xls" TargetMode="External"/><Relationship Id="rId117" Type="http://schemas.openxmlformats.org/officeDocument/2006/relationships/printerSettings" Target="../printerSettings/printerSettings1.bin"/><Relationship Id="rId21" Type="http://schemas.openxmlformats.org/officeDocument/2006/relationships/hyperlink" Target="..\RCR%20CS\STD_RCR_09.xls" TargetMode="External"/><Relationship Id="rId42" Type="http://schemas.openxmlformats.org/officeDocument/2006/relationships/hyperlink" Target="..\STD%20Golden%20Weld%20RCR\RCR-GW-01%20-%20CS.xlsx" TargetMode="External"/><Relationship Id="rId47" Type="http://schemas.openxmlformats.org/officeDocument/2006/relationships/hyperlink" Target="..\STD%20Golden%20Weld%20RCR\RCR-GW-05%20-%20LTCS.xlsx" TargetMode="External"/><Relationship Id="rId63" Type="http://schemas.openxmlformats.org/officeDocument/2006/relationships/hyperlink" Target="..\STD%20Golden%20Weld%20RCR\RCR-GW-03%20-%20CS%20SOUR.xlsx" TargetMode="External"/><Relationship Id="rId68" Type="http://schemas.openxmlformats.org/officeDocument/2006/relationships/hyperlink" Target="..\STD%20Golden%20Weld%20RCR\RCR-GW-04%20-%20CS%20SOUR+PWHT.xlsx" TargetMode="External"/><Relationship Id="rId84" Type="http://schemas.openxmlformats.org/officeDocument/2006/relationships/hyperlink" Target="..\STD%20Golden%20Weld%20RCR\RCR-GW-05%20-%20LTCS.xlsx" TargetMode="External"/><Relationship Id="rId89" Type="http://schemas.openxmlformats.org/officeDocument/2006/relationships/hyperlink" Target="..\STD%20Golden%20Weld%20RCR\RCR-GW-03%20-%20CS%20SOUR.xlsx" TargetMode="External"/><Relationship Id="rId112" Type="http://schemas.openxmlformats.org/officeDocument/2006/relationships/hyperlink" Target="..\STD%20Golden%20Weld%20RCR\RCR-GW-14%20-%20Hastelloy%20B3.xlsx" TargetMode="External"/><Relationship Id="rId16" Type="http://schemas.openxmlformats.org/officeDocument/2006/relationships/hyperlink" Target="file:///\\Pttgc.corp\sgcfs\T-IR\07%20T-IR-SE\01.Admin-General\1.6%20Welding%20QA\STD%20RCR\AR1\RCR-STD-40.xls" TargetMode="External"/><Relationship Id="rId107" Type="http://schemas.openxmlformats.org/officeDocument/2006/relationships/hyperlink" Target="..\STD%20Golden%20Weld%20RCR\RCR-GW-08%20-%205Cr0_5Mo.xlsx" TargetMode="External"/><Relationship Id="rId11" Type="http://schemas.openxmlformats.org/officeDocument/2006/relationships/hyperlink" Target="RCR-STD-34.xls" TargetMode="External"/><Relationship Id="rId32" Type="http://schemas.openxmlformats.org/officeDocument/2006/relationships/hyperlink" Target="RCR-STD-29.xls" TargetMode="External"/><Relationship Id="rId37" Type="http://schemas.openxmlformats.org/officeDocument/2006/relationships/hyperlink" Target="RCR-STD-09.xls" TargetMode="External"/><Relationship Id="rId53" Type="http://schemas.openxmlformats.org/officeDocument/2006/relationships/hyperlink" Target="..\STD%20Golden%20Weld%20RCR\RCR-GW-01%20-%20CS.xlsx" TargetMode="External"/><Relationship Id="rId58" Type="http://schemas.openxmlformats.org/officeDocument/2006/relationships/hyperlink" Target="..\STD%20Golden%20Weld%20RCR\RCR-GW-02%20-%20CS+PWHT.xlsx" TargetMode="External"/><Relationship Id="rId74" Type="http://schemas.openxmlformats.org/officeDocument/2006/relationships/hyperlink" Target="..\STD%20Golden%20Weld%20RCR\RCR-GW-04%20-%20CS%20SOUR+PWHT.xlsx" TargetMode="External"/><Relationship Id="rId79" Type="http://schemas.openxmlformats.org/officeDocument/2006/relationships/hyperlink" Target="..\STD%20Golden%20Weld%20RCR\RCR-GW-04%20-%20CS%20SOUR+PWHT.xlsx" TargetMode="External"/><Relationship Id="rId102" Type="http://schemas.openxmlformats.org/officeDocument/2006/relationships/hyperlink" Target="..\STD%20Golden%20Weld%20RCR\RCR-GW-10%20-%20SS304-316.xlsx" TargetMode="External"/><Relationship Id="rId5" Type="http://schemas.openxmlformats.org/officeDocument/2006/relationships/hyperlink" Target="RCR-STD-21.xls" TargetMode="External"/><Relationship Id="rId90" Type="http://schemas.openxmlformats.org/officeDocument/2006/relationships/hyperlink" Target="..\STD%20Golden%20Weld%20RCR\RCR-GW-04%20-%20CS%20SOUR+PWHT.xlsx" TargetMode="External"/><Relationship Id="rId95" Type="http://schemas.openxmlformats.org/officeDocument/2006/relationships/hyperlink" Target="..\STD%20Golden%20Weld%20RCR\RCR-GW-10%20-%20SS304-316.xlsx" TargetMode="External"/><Relationship Id="rId22" Type="http://schemas.openxmlformats.org/officeDocument/2006/relationships/hyperlink" Target="RCR-STD-12.xls" TargetMode="External"/><Relationship Id="rId27" Type="http://schemas.openxmlformats.org/officeDocument/2006/relationships/hyperlink" Target="RCR-STD-18.xls" TargetMode="External"/><Relationship Id="rId43" Type="http://schemas.openxmlformats.org/officeDocument/2006/relationships/hyperlink" Target="..\STD%20Golden%20Weld%20RCR\RCR-GW-03%20-%20CS%20SOUR.xlsx" TargetMode="External"/><Relationship Id="rId48" Type="http://schemas.openxmlformats.org/officeDocument/2006/relationships/hyperlink" Target="..\STD%20Golden%20Weld%20RCR\RCR-GW-01%20-%20CS.xlsx" TargetMode="External"/><Relationship Id="rId64" Type="http://schemas.openxmlformats.org/officeDocument/2006/relationships/hyperlink" Target="..\STD%20Golden%20Weld%20RCR\RCR-GW-04%20-%20CS%20SOUR+PWHT.xlsx" TargetMode="External"/><Relationship Id="rId69" Type="http://schemas.openxmlformats.org/officeDocument/2006/relationships/hyperlink" Target="..\STD%20Golden%20Weld%20RCR\RCR-GW-01%20-%20CS.xlsx" TargetMode="External"/><Relationship Id="rId113" Type="http://schemas.openxmlformats.org/officeDocument/2006/relationships/hyperlink" Target="file:///\\Pttgc.corp\sgcfs\T-IR\07%20T-IR-SE\01.Admin-General\1.6%20Welding%20QA\STD%20RCR\AR1\RCR-STD-01.xls" TargetMode="External"/><Relationship Id="rId118" Type="http://schemas.openxmlformats.org/officeDocument/2006/relationships/customProperty" Target="../customProperty1.bin"/><Relationship Id="rId80" Type="http://schemas.openxmlformats.org/officeDocument/2006/relationships/hyperlink" Target="..\STD%20Golden%20Weld%20RCR\RCR-GW-01%20-%20CS.xlsx" TargetMode="External"/><Relationship Id="rId85" Type="http://schemas.openxmlformats.org/officeDocument/2006/relationships/hyperlink" Target="..\STD%20Golden%20Weld%20RCR\RCR-GW-01%20-%20CS.xlsx" TargetMode="External"/><Relationship Id="rId12" Type="http://schemas.openxmlformats.org/officeDocument/2006/relationships/hyperlink" Target="RCR-STD-35.xls" TargetMode="External"/><Relationship Id="rId17" Type="http://schemas.openxmlformats.org/officeDocument/2006/relationships/hyperlink" Target="RCR-STD-02.xls" TargetMode="External"/><Relationship Id="rId33" Type="http://schemas.openxmlformats.org/officeDocument/2006/relationships/hyperlink" Target="RCR-STD-31.xls" TargetMode="External"/><Relationship Id="rId38" Type="http://schemas.openxmlformats.org/officeDocument/2006/relationships/hyperlink" Target="..\STD%20Golden%20Weld%20RCR\RCR-GW-01%20-%20CS.xlsx" TargetMode="External"/><Relationship Id="rId59" Type="http://schemas.openxmlformats.org/officeDocument/2006/relationships/hyperlink" Target="..\STD%20Golden%20Weld%20RCR\RCR-GW-03%20-%20CS%20SOUR.xlsx" TargetMode="External"/><Relationship Id="rId103" Type="http://schemas.openxmlformats.org/officeDocument/2006/relationships/hyperlink" Target="..\STD%20Golden%20Weld%20RCR\RCR-GW-10%20-%20SS304-316.xlsx" TargetMode="External"/><Relationship Id="rId108" Type="http://schemas.openxmlformats.org/officeDocument/2006/relationships/hyperlink" Target="..\STD%20Golden%20Weld%20RCR\RCR-GW-09%20-%209Cr1MoV.xlsx" TargetMode="External"/><Relationship Id="rId54" Type="http://schemas.openxmlformats.org/officeDocument/2006/relationships/hyperlink" Target="..\STD%20Golden%20Weld%20RCR\RCR-GW-02%20-%20CS+PWHT.xlsx" TargetMode="External"/><Relationship Id="rId70" Type="http://schemas.openxmlformats.org/officeDocument/2006/relationships/hyperlink" Target="..\STD%20Golden%20Weld%20RCR\RCR-GW-02%20-%20CS+PWHT.xlsx" TargetMode="External"/><Relationship Id="rId75" Type="http://schemas.openxmlformats.org/officeDocument/2006/relationships/hyperlink" Target="..\STD%20Golden%20Weld%20RCR\RCR-GW-02%20-%20CS+PWHT.xlsx" TargetMode="External"/><Relationship Id="rId91" Type="http://schemas.openxmlformats.org/officeDocument/2006/relationships/hyperlink" Target="..\STD%20Golden%20Weld%20RCR\RCR-GW-01%20-%20CS.xlsx" TargetMode="External"/><Relationship Id="rId96" Type="http://schemas.openxmlformats.org/officeDocument/2006/relationships/hyperlink" Target="..\STD%20Golden%20Weld%20RCR\RCR-GW-11%20-%20SS321.xlsx" TargetMode="External"/><Relationship Id="rId1" Type="http://schemas.openxmlformats.org/officeDocument/2006/relationships/hyperlink" Target="RCR-STD-11.xls" TargetMode="External"/><Relationship Id="rId6" Type="http://schemas.openxmlformats.org/officeDocument/2006/relationships/hyperlink" Target="RCR-STD-25.xls" TargetMode="External"/><Relationship Id="rId23" Type="http://schemas.openxmlformats.org/officeDocument/2006/relationships/hyperlink" Target="RCR-STD-13.xls" TargetMode="External"/><Relationship Id="rId28" Type="http://schemas.openxmlformats.org/officeDocument/2006/relationships/hyperlink" Target="RCR-STD-22.xls" TargetMode="External"/><Relationship Id="rId49" Type="http://schemas.openxmlformats.org/officeDocument/2006/relationships/hyperlink" Target="..\STD%20Golden%20Weld%20RCR\RCR-GW-03%20-%20CS%20SOUR.xlsx" TargetMode="External"/><Relationship Id="rId114" Type="http://schemas.openxmlformats.org/officeDocument/2006/relationships/hyperlink" Target="file:///\\Pttgc.corp\sgcfs\T-IR\07%20T-IR-SE\01.Admin-General\1.6%20Welding%20QA\STD%20RCR\AR1\RCR-STD-03.xls" TargetMode="External"/><Relationship Id="rId119" Type="http://schemas.openxmlformats.org/officeDocument/2006/relationships/vmlDrawing" Target="../drawings/vmlDrawing1.vml"/><Relationship Id="rId10" Type="http://schemas.openxmlformats.org/officeDocument/2006/relationships/hyperlink" Target="RCR-STD-33.xls" TargetMode="External"/><Relationship Id="rId31" Type="http://schemas.openxmlformats.org/officeDocument/2006/relationships/hyperlink" Target="RCR-STD-28.xls" TargetMode="External"/><Relationship Id="rId44" Type="http://schemas.openxmlformats.org/officeDocument/2006/relationships/hyperlink" Target="..\STD%20Golden%20Weld%20RCR\RCR-GW-01%20-%20CS.xlsx" TargetMode="External"/><Relationship Id="rId52" Type="http://schemas.openxmlformats.org/officeDocument/2006/relationships/hyperlink" Target="..\STD%20Golden%20Weld%20RCR\RCR-GW-02%20-%20CS+PWHT.xlsx" TargetMode="External"/><Relationship Id="rId60" Type="http://schemas.openxmlformats.org/officeDocument/2006/relationships/hyperlink" Target="..\STD%20Golden%20Weld%20RCR\RCR-GW-04%20-%20CS%20SOUR+PWHT.xlsx" TargetMode="External"/><Relationship Id="rId65" Type="http://schemas.openxmlformats.org/officeDocument/2006/relationships/hyperlink" Target="..\STD%20Golden%20Weld%20RCR\RCR-GW-01%20-%20CS.xlsx" TargetMode="External"/><Relationship Id="rId73" Type="http://schemas.openxmlformats.org/officeDocument/2006/relationships/hyperlink" Target="..\STD%20Golden%20Weld%20RCR\RCR-GW-05%20-%20LTCS.xlsx" TargetMode="External"/><Relationship Id="rId78" Type="http://schemas.openxmlformats.org/officeDocument/2006/relationships/hyperlink" Target="..\STD%20Golden%20Weld%20RCR\RCR-GW-03%20-%20CS%20SOUR.xlsx" TargetMode="External"/><Relationship Id="rId81" Type="http://schemas.openxmlformats.org/officeDocument/2006/relationships/hyperlink" Target="..\STD%20Golden%20Weld%20RCR\RCR-GW-02%20-%20CS+PWHT.xlsx" TargetMode="External"/><Relationship Id="rId86" Type="http://schemas.openxmlformats.org/officeDocument/2006/relationships/hyperlink" Target="..\STD%20Golden%20Weld%20RCR\RCR-GW-02%20-%20CS+PWHT.xlsx" TargetMode="External"/><Relationship Id="rId94" Type="http://schemas.openxmlformats.org/officeDocument/2006/relationships/hyperlink" Target="..\STD%20Golden%20Weld%20RCR\RCR-GW-04%20-%20CS%20SOUR+PWHT.xlsx" TargetMode="External"/><Relationship Id="rId99" Type="http://schemas.openxmlformats.org/officeDocument/2006/relationships/hyperlink" Target="..\STD%20Golden%20Weld%20RCR\RCR-GW-10%20-%20SS304-316.xlsx" TargetMode="External"/><Relationship Id="rId101" Type="http://schemas.openxmlformats.org/officeDocument/2006/relationships/hyperlink" Target="..\STD%20Golden%20Weld%20RCR\RCR-GW-11%20-%20SS321.xlsx" TargetMode="External"/><Relationship Id="rId4" Type="http://schemas.openxmlformats.org/officeDocument/2006/relationships/hyperlink" Target="RCR-STD-20.xls" TargetMode="External"/><Relationship Id="rId9" Type="http://schemas.openxmlformats.org/officeDocument/2006/relationships/hyperlink" Target="RCR-STD-30.xls" TargetMode="External"/><Relationship Id="rId13" Type="http://schemas.openxmlformats.org/officeDocument/2006/relationships/hyperlink" Target="RCR-STD-36.xls" TargetMode="External"/><Relationship Id="rId18" Type="http://schemas.openxmlformats.org/officeDocument/2006/relationships/hyperlink" Target="RCR-STD-05.xls" TargetMode="External"/><Relationship Id="rId39" Type="http://schemas.openxmlformats.org/officeDocument/2006/relationships/hyperlink" Target="..\STD%20Golden%20Weld%20RCR\RCR-GW-03%20-%20CS%20SOUR.xlsx" TargetMode="External"/><Relationship Id="rId109" Type="http://schemas.openxmlformats.org/officeDocument/2006/relationships/hyperlink" Target="..\STD%20Golden%20Weld%20RCR\RCR-GW-12%20-%20Monel400.xlsx" TargetMode="External"/><Relationship Id="rId34" Type="http://schemas.openxmlformats.org/officeDocument/2006/relationships/hyperlink" Target="RCR-STD-32.xls" TargetMode="External"/><Relationship Id="rId50" Type="http://schemas.openxmlformats.org/officeDocument/2006/relationships/hyperlink" Target="..\STD%20Golden%20Weld%20RCR\RCR-GW-04%20-%20CS%20SOUR+PWHT.xlsx" TargetMode="External"/><Relationship Id="rId55" Type="http://schemas.openxmlformats.org/officeDocument/2006/relationships/hyperlink" Target="..\STD%20Golden%20Weld%20RCR\RCR-GW-03%20-%20CS%20SOUR.xlsx" TargetMode="External"/><Relationship Id="rId76" Type="http://schemas.openxmlformats.org/officeDocument/2006/relationships/hyperlink" Target="..\STD%20Golden%20Weld%20RCR\RCR-GW-01%20-%20CS.xlsx" TargetMode="External"/><Relationship Id="rId97" Type="http://schemas.openxmlformats.org/officeDocument/2006/relationships/hyperlink" Target="..\STD%20Golden%20Weld%20RCR\RCR-GW-10%20-%20SS304-316.xlsx" TargetMode="External"/><Relationship Id="rId104" Type="http://schemas.openxmlformats.org/officeDocument/2006/relationships/hyperlink" Target="..\STD%20Golden%20Weld%20RCR\RCR-GW-11%20-%20SS321.xlsx" TargetMode="External"/><Relationship Id="rId120" Type="http://schemas.openxmlformats.org/officeDocument/2006/relationships/comments" Target="../comments1.xml"/><Relationship Id="rId7" Type="http://schemas.openxmlformats.org/officeDocument/2006/relationships/hyperlink" Target="RCR-STD-26.xls" TargetMode="External"/><Relationship Id="rId71" Type="http://schemas.openxmlformats.org/officeDocument/2006/relationships/hyperlink" Target="..\STD%20Golden%20Weld%20RCR\RCR-GW-03%20-%20CS%20SOUR.xlsx" TargetMode="External"/><Relationship Id="rId92" Type="http://schemas.openxmlformats.org/officeDocument/2006/relationships/hyperlink" Target="..\STD%20Golden%20Weld%20RCR\RCR-GW-02%20-%20CS+PWHT.xlsx" TargetMode="External"/><Relationship Id="rId2" Type="http://schemas.openxmlformats.org/officeDocument/2006/relationships/hyperlink" Target="RCR-STD-16.xls" TargetMode="External"/><Relationship Id="rId29" Type="http://schemas.openxmlformats.org/officeDocument/2006/relationships/hyperlink" Target="RCR-STD-23.xls" TargetMode="External"/><Relationship Id="rId24" Type="http://schemas.openxmlformats.org/officeDocument/2006/relationships/hyperlink" Target="RCR-STD-14.xls" TargetMode="External"/><Relationship Id="rId40" Type="http://schemas.openxmlformats.org/officeDocument/2006/relationships/hyperlink" Target="..\STD%20Golden%20Weld%20RCR\RCR-GW-01%20-%20CS.xlsx" TargetMode="External"/><Relationship Id="rId45" Type="http://schemas.openxmlformats.org/officeDocument/2006/relationships/hyperlink" Target="..\STD%20Golden%20Weld%20RCR\RCR-GW-03%20-%20CS%20SOUR.xlsx" TargetMode="External"/><Relationship Id="rId66" Type="http://schemas.openxmlformats.org/officeDocument/2006/relationships/hyperlink" Target="..\STD%20Golden%20Weld%20RCR\RCR-GW-02%20-%20CS+PWHT.xlsx" TargetMode="External"/><Relationship Id="rId87" Type="http://schemas.openxmlformats.org/officeDocument/2006/relationships/hyperlink" Target="..\STD%20Golden%20Weld%20RCR\RCR-GW-01%20-%20CS.xlsx" TargetMode="External"/><Relationship Id="rId110" Type="http://schemas.openxmlformats.org/officeDocument/2006/relationships/hyperlink" Target="..\STD%20Golden%20Weld%20RCR\RCR-GW-13%20-%20Inconel600.xlsx" TargetMode="External"/><Relationship Id="rId115" Type="http://schemas.openxmlformats.org/officeDocument/2006/relationships/hyperlink" Target="file:///\\Pttgc.corp\sgcfs\T-IR\07%20T-IR-SE\01.Admin-General\1.6%20Welding%20QA\STD%20RCR\AR1\RCR-STD-04.xls" TargetMode="External"/><Relationship Id="rId61" Type="http://schemas.openxmlformats.org/officeDocument/2006/relationships/hyperlink" Target="..\STD%20Golden%20Weld%20RCR\RCR-GW-01%20-%20CS.xlsx" TargetMode="External"/><Relationship Id="rId82" Type="http://schemas.openxmlformats.org/officeDocument/2006/relationships/hyperlink" Target="..\STD%20Golden%20Weld%20RCR\RCR-GW-03%20-%20CS%20SOUR.xlsx" TargetMode="External"/><Relationship Id="rId19" Type="http://schemas.openxmlformats.org/officeDocument/2006/relationships/hyperlink" Target="RCR-STD-06.xls" TargetMode="External"/><Relationship Id="rId14" Type="http://schemas.openxmlformats.org/officeDocument/2006/relationships/hyperlink" Target="RCR-STD-37.xls" TargetMode="External"/><Relationship Id="rId30" Type="http://schemas.openxmlformats.org/officeDocument/2006/relationships/hyperlink" Target="RCR-STD-24.xls" TargetMode="External"/><Relationship Id="rId35" Type="http://schemas.openxmlformats.org/officeDocument/2006/relationships/hyperlink" Target="RCR-STD-39.xls" TargetMode="External"/><Relationship Id="rId56" Type="http://schemas.openxmlformats.org/officeDocument/2006/relationships/hyperlink" Target="..\STD%20Golden%20Weld%20RCR\RCR-GW-04%20-%20CS%20SOUR+PWHT.xlsx" TargetMode="External"/><Relationship Id="rId77" Type="http://schemas.openxmlformats.org/officeDocument/2006/relationships/hyperlink" Target="..\STD%20Golden%20Weld%20RCR\RCR-GW-02%20-%20CS+PWHT.xlsx" TargetMode="External"/><Relationship Id="rId100" Type="http://schemas.openxmlformats.org/officeDocument/2006/relationships/hyperlink" Target="..\STD%20Golden%20Weld%20RCR\RCR-GW-11%20-%20SS321.xlsx" TargetMode="External"/><Relationship Id="rId105" Type="http://schemas.openxmlformats.org/officeDocument/2006/relationships/hyperlink" Target="..\STD%20Golden%20Weld%20RCR\RCR-GW-06%20-%201_25Cr0_5Mo.xlsx" TargetMode="External"/><Relationship Id="rId8" Type="http://schemas.openxmlformats.org/officeDocument/2006/relationships/hyperlink" Target="RCR-STD-27.xls" TargetMode="External"/><Relationship Id="rId51" Type="http://schemas.openxmlformats.org/officeDocument/2006/relationships/hyperlink" Target="..\STD%20Golden%20Weld%20RCR\RCR-GW-01%20-%20CS.xlsx" TargetMode="External"/><Relationship Id="rId72" Type="http://schemas.openxmlformats.org/officeDocument/2006/relationships/hyperlink" Target="..\STD%20Golden%20Weld%20RCR\RCR-GW-04%20-%20CS%20SOUR+PWHT.xlsx" TargetMode="External"/><Relationship Id="rId93" Type="http://schemas.openxmlformats.org/officeDocument/2006/relationships/hyperlink" Target="..\STD%20Golden%20Weld%20RCR\RCR-GW-03%20-%20CS%20SOUR.xlsx" TargetMode="External"/><Relationship Id="rId98" Type="http://schemas.openxmlformats.org/officeDocument/2006/relationships/hyperlink" Target="..\STD%20Golden%20Weld%20RCR\RCR-GW-11%20-%20SS321.xlsx" TargetMode="External"/><Relationship Id="rId3" Type="http://schemas.openxmlformats.org/officeDocument/2006/relationships/hyperlink" Target="RCR-STD-19.xls" TargetMode="External"/><Relationship Id="rId25" Type="http://schemas.openxmlformats.org/officeDocument/2006/relationships/hyperlink" Target="RCR-STD-15.xls" TargetMode="External"/><Relationship Id="rId46" Type="http://schemas.openxmlformats.org/officeDocument/2006/relationships/hyperlink" Target="..\STD%20Golden%20Weld%20RCR\RCR-GW-01%20-%20CS.xlsx" TargetMode="External"/><Relationship Id="rId67" Type="http://schemas.openxmlformats.org/officeDocument/2006/relationships/hyperlink" Target="..\STD%20Golden%20Weld%20RCR\RCR-GW-03%20-%20CS%20SOUR.xlsx" TargetMode="External"/><Relationship Id="rId116" Type="http://schemas.openxmlformats.org/officeDocument/2006/relationships/hyperlink" Target="file:///\\Pttgc.corp\sgcfs\T-IR\07%20T-IR-SE\01.Admin-General\1.6%20Welding%20QA\STD%20RCR\AR1\RCR-STD-08.xls" TargetMode="External"/><Relationship Id="rId20" Type="http://schemas.openxmlformats.org/officeDocument/2006/relationships/hyperlink" Target="RCR-STD-07.xls" TargetMode="External"/><Relationship Id="rId41" Type="http://schemas.openxmlformats.org/officeDocument/2006/relationships/hyperlink" Target="..\STD%20Golden%20Weld%20RCR\RCR-GW-03%20-%20CS%20SOUR.xlsx" TargetMode="External"/><Relationship Id="rId62" Type="http://schemas.openxmlformats.org/officeDocument/2006/relationships/hyperlink" Target="..\STD%20Golden%20Weld%20RCR\RCR-GW-02%20-%20CS+PWHT.xlsx" TargetMode="External"/><Relationship Id="rId83" Type="http://schemas.openxmlformats.org/officeDocument/2006/relationships/hyperlink" Target="..\STD%20Golden%20Weld%20RCR\RCR-GW-04%20-%20CS%20SOUR+PWHT.xlsx" TargetMode="External"/><Relationship Id="rId88" Type="http://schemas.openxmlformats.org/officeDocument/2006/relationships/hyperlink" Target="..\STD%20Golden%20Weld%20RCR\RCR-GW-02%20-%20CS+PWHT.xlsx" TargetMode="External"/><Relationship Id="rId111" Type="http://schemas.openxmlformats.org/officeDocument/2006/relationships/hyperlink" Target="..\STD%20Golden%20Weld%20RCR\RCR-GW-15%20-%20Incolloy%20800H.xlsx" TargetMode="External"/><Relationship Id="rId15" Type="http://schemas.openxmlformats.org/officeDocument/2006/relationships/hyperlink" Target="RCR-STD-38.xls" TargetMode="External"/><Relationship Id="rId36" Type="http://schemas.openxmlformats.org/officeDocument/2006/relationships/hyperlink" Target="file:///\\Pttgc.corp\sgcfs\T-IR\07%20T-IR-SE\01.Admin-General\1.6%20Welding%20QA\STD%20RCR\AR1\RCR-STD-10.xls" TargetMode="External"/><Relationship Id="rId57" Type="http://schemas.openxmlformats.org/officeDocument/2006/relationships/hyperlink" Target="..\STD%20Golden%20Weld%20RCR\RCR-GW-01%20-%20CS.xlsx" TargetMode="External"/><Relationship Id="rId106" Type="http://schemas.openxmlformats.org/officeDocument/2006/relationships/hyperlink" Target="..\STD%20Golden%20Weld%20RCR\RCR-GW-07%20-%202_25Cr1Mo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3"/>
  <sheetViews>
    <sheetView tabSelected="1" zoomScale="115" zoomScaleNormal="115" workbookViewId="0">
      <pane xSplit="9" ySplit="2" topLeftCell="J5" activePane="bottomRight" state="frozen"/>
      <selection pane="topRight" activeCell="F1" sqref="F1"/>
      <selection pane="bottomLeft" activeCell="A3" sqref="A3"/>
      <selection pane="bottomRight" activeCell="B12" sqref="A12:XFD12"/>
    </sheetView>
  </sheetViews>
  <sheetFormatPr defaultColWidth="9.09765625" defaultRowHeight="13" x14ac:dyDescent="0.75"/>
  <cols>
    <col min="1" max="1" width="22.3984375" style="20" customWidth="1"/>
    <col min="2" max="2" width="15.296875" style="13" customWidth="1"/>
    <col min="3" max="3" width="22.3984375" style="20" customWidth="1"/>
    <col min="4" max="5" width="14.8984375" style="20" customWidth="1"/>
    <col min="6" max="7" width="11.09765625" style="14" customWidth="1"/>
    <col min="8" max="8" width="14" style="13" customWidth="1"/>
    <col min="9" max="9" width="6.8984375" style="13" customWidth="1"/>
    <col min="10" max="10" width="7.3984375" style="13" customWidth="1"/>
    <col min="11" max="11" width="7.296875" style="13" customWidth="1"/>
    <col min="12" max="12" width="6.59765625" style="15" customWidth="1"/>
    <col min="13" max="13" width="6.09765625" style="13" customWidth="1"/>
    <col min="14" max="14" width="6.69921875" style="13" customWidth="1"/>
    <col min="15" max="16" width="5.3984375" style="13" customWidth="1"/>
    <col min="17" max="17" width="7.8984375" style="13" customWidth="1"/>
    <col min="18" max="18" width="8.3984375" style="13" customWidth="1"/>
    <col min="19" max="19" width="10.69921875" style="13" customWidth="1"/>
    <col min="20" max="20" width="9.59765625" style="14" customWidth="1"/>
    <col min="21" max="21" width="9.69921875" style="16" customWidth="1"/>
    <col min="22" max="22" width="16.09765625" style="6" customWidth="1"/>
    <col min="23" max="23" width="10.59765625" style="13" customWidth="1"/>
    <col min="24" max="25" width="8.69921875" style="13" customWidth="1"/>
    <col min="26" max="26" width="31.3984375" style="6" customWidth="1"/>
    <col min="27" max="16384" width="9.09765625" style="6"/>
  </cols>
  <sheetData>
    <row r="1" spans="1:26" s="8" customFormat="1" ht="23" x14ac:dyDescent="0.75">
      <c r="A1" s="31" t="s">
        <v>0</v>
      </c>
      <c r="B1" s="32" t="s">
        <v>279</v>
      </c>
      <c r="C1" s="60"/>
      <c r="D1" s="127" t="s">
        <v>384</v>
      </c>
      <c r="E1" s="128"/>
      <c r="F1" s="33" t="s">
        <v>304</v>
      </c>
      <c r="G1" s="34" t="s">
        <v>303</v>
      </c>
      <c r="H1" s="34" t="s">
        <v>1</v>
      </c>
      <c r="I1" s="35" t="s">
        <v>239</v>
      </c>
      <c r="J1" s="118" t="s">
        <v>2</v>
      </c>
      <c r="K1" s="119"/>
      <c r="L1" s="119"/>
      <c r="M1" s="119"/>
      <c r="N1" s="119"/>
      <c r="O1" s="119"/>
      <c r="P1" s="119"/>
      <c r="Q1" s="120"/>
      <c r="R1" s="36" t="s">
        <v>3</v>
      </c>
      <c r="S1" s="36" t="s">
        <v>4</v>
      </c>
      <c r="T1" s="36" t="s">
        <v>5</v>
      </c>
      <c r="U1" s="34" t="s">
        <v>6</v>
      </c>
      <c r="V1" s="34" t="s">
        <v>7</v>
      </c>
      <c r="W1" s="35" t="s">
        <v>315</v>
      </c>
      <c r="X1" s="35" t="s">
        <v>316</v>
      </c>
      <c r="Y1" s="35" t="s">
        <v>317</v>
      </c>
      <c r="Z1" s="37" t="s">
        <v>8</v>
      </c>
    </row>
    <row r="2" spans="1:26" s="12" customFormat="1" ht="14.5" x14ac:dyDescent="0.75">
      <c r="A2" s="38"/>
      <c r="B2" s="17"/>
      <c r="C2" s="61"/>
      <c r="D2" s="69" t="s">
        <v>386</v>
      </c>
      <c r="E2" s="69" t="s">
        <v>387</v>
      </c>
      <c r="F2" s="30"/>
      <c r="G2" s="9"/>
      <c r="H2" s="10"/>
      <c r="I2" s="11"/>
      <c r="J2" s="11" t="s">
        <v>9</v>
      </c>
      <c r="K2" s="9" t="s">
        <v>10</v>
      </c>
      <c r="L2" s="9" t="s">
        <v>11</v>
      </c>
      <c r="M2" s="9" t="s">
        <v>12</v>
      </c>
      <c r="N2" s="9" t="s">
        <v>13</v>
      </c>
      <c r="O2" s="9" t="s">
        <v>14</v>
      </c>
      <c r="P2" s="9" t="s">
        <v>403</v>
      </c>
      <c r="Q2" s="9" t="s">
        <v>15</v>
      </c>
      <c r="R2" s="9" t="s">
        <v>16</v>
      </c>
      <c r="S2" s="9" t="s">
        <v>17</v>
      </c>
      <c r="T2" s="9" t="s">
        <v>17</v>
      </c>
      <c r="U2" s="9"/>
      <c r="V2" s="10"/>
      <c r="W2" s="64" t="s">
        <v>314</v>
      </c>
      <c r="X2" s="64"/>
      <c r="Y2" s="64" t="s">
        <v>312</v>
      </c>
      <c r="Z2" s="39"/>
    </row>
    <row r="3" spans="1:26" ht="23" x14ac:dyDescent="0.75">
      <c r="A3" s="134">
        <v>1</v>
      </c>
      <c r="B3" s="29" t="s">
        <v>263</v>
      </c>
      <c r="C3" s="62">
        <v>1</v>
      </c>
      <c r="D3" s="129" t="s">
        <v>385</v>
      </c>
      <c r="E3" s="130"/>
      <c r="F3" s="18">
        <v>11200</v>
      </c>
      <c r="G3" s="22"/>
      <c r="H3" s="23" t="s">
        <v>18</v>
      </c>
      <c r="I3" s="24">
        <v>1</v>
      </c>
      <c r="J3" s="25">
        <v>0.1</v>
      </c>
      <c r="K3" s="22" t="s">
        <v>19</v>
      </c>
      <c r="L3" s="22"/>
      <c r="M3" s="22" t="s">
        <v>19</v>
      </c>
      <c r="N3" s="24"/>
      <c r="O3" s="22"/>
      <c r="P3" s="22"/>
      <c r="Q3" s="22" t="s">
        <v>20</v>
      </c>
      <c r="R3" s="22">
        <v>50</v>
      </c>
      <c r="S3" s="22">
        <v>19.3</v>
      </c>
      <c r="T3" s="22">
        <f>S3*1.5</f>
        <v>28.950000000000003</v>
      </c>
      <c r="U3" s="22"/>
      <c r="V3" s="23"/>
      <c r="W3" s="67" t="s">
        <v>319</v>
      </c>
      <c r="X3" s="67" t="s">
        <v>313</v>
      </c>
      <c r="Y3" s="67" t="s">
        <v>327</v>
      </c>
      <c r="Z3" s="40" t="s">
        <v>59</v>
      </c>
    </row>
    <row r="4" spans="1:26" ht="12.75" customHeight="1" x14ac:dyDescent="0.75">
      <c r="A4" s="135"/>
      <c r="B4" s="1" t="s">
        <v>262</v>
      </c>
      <c r="C4" s="63">
        <v>2</v>
      </c>
      <c r="D4" s="108"/>
      <c r="E4" s="109"/>
      <c r="F4" s="19">
        <v>11260</v>
      </c>
      <c r="G4" s="3" t="s">
        <v>305</v>
      </c>
      <c r="H4" s="5" t="s">
        <v>18</v>
      </c>
      <c r="I4" s="4">
        <v>1</v>
      </c>
      <c r="J4" s="25">
        <v>0.1</v>
      </c>
      <c r="K4" s="3" t="s">
        <v>19</v>
      </c>
      <c r="L4" s="3"/>
      <c r="M4" s="3" t="s">
        <v>19</v>
      </c>
      <c r="N4" s="4"/>
      <c r="O4" s="3"/>
      <c r="P4" s="3"/>
      <c r="Q4" s="3" t="s">
        <v>20</v>
      </c>
      <c r="R4" s="3">
        <v>50</v>
      </c>
      <c r="S4" s="3">
        <v>19.3</v>
      </c>
      <c r="T4" s="3">
        <f>S4*1.5</f>
        <v>28.950000000000003</v>
      </c>
      <c r="U4" s="3"/>
      <c r="V4" s="5"/>
      <c r="W4" s="68" t="s">
        <v>322</v>
      </c>
      <c r="X4" s="68" t="s">
        <v>313</v>
      </c>
      <c r="Y4" s="68" t="s">
        <v>318</v>
      </c>
      <c r="Z4" s="41" t="s">
        <v>60</v>
      </c>
    </row>
    <row r="5" spans="1:26" ht="23" x14ac:dyDescent="0.75">
      <c r="A5" s="135"/>
      <c r="B5" s="1" t="s">
        <v>261</v>
      </c>
      <c r="C5" s="63">
        <v>3</v>
      </c>
      <c r="D5" s="108"/>
      <c r="E5" s="109"/>
      <c r="F5" s="19">
        <v>18010</v>
      </c>
      <c r="G5" s="3"/>
      <c r="H5" s="5" t="s">
        <v>83</v>
      </c>
      <c r="I5" s="4" t="s">
        <v>241</v>
      </c>
      <c r="J5" s="25">
        <v>0.1</v>
      </c>
      <c r="K5" s="3" t="s">
        <v>19</v>
      </c>
      <c r="L5" s="3"/>
      <c r="M5" s="3"/>
      <c r="N5" s="4"/>
      <c r="O5" s="3"/>
      <c r="P5" s="3"/>
      <c r="Q5" s="3" t="s">
        <v>20</v>
      </c>
      <c r="R5" s="3">
        <v>50</v>
      </c>
      <c r="S5" s="3">
        <v>16</v>
      </c>
      <c r="T5" s="3">
        <f>S5*1.5</f>
        <v>24</v>
      </c>
      <c r="U5" s="3"/>
      <c r="V5" s="5"/>
      <c r="W5" s="68" t="s">
        <v>345</v>
      </c>
      <c r="X5" s="68" t="s">
        <v>313</v>
      </c>
      <c r="Y5" s="68" t="s">
        <v>340</v>
      </c>
      <c r="Z5" s="41" t="s">
        <v>84</v>
      </c>
    </row>
    <row r="6" spans="1:26" ht="23" x14ac:dyDescent="0.75">
      <c r="A6" s="135"/>
      <c r="B6" s="1" t="s">
        <v>267</v>
      </c>
      <c r="C6" s="63">
        <v>4</v>
      </c>
      <c r="D6" s="108"/>
      <c r="E6" s="109"/>
      <c r="F6" s="19" t="s">
        <v>85</v>
      </c>
      <c r="G6" s="3"/>
      <c r="H6" s="5" t="s">
        <v>86</v>
      </c>
      <c r="I6" s="4" t="s">
        <v>242</v>
      </c>
      <c r="J6" s="2">
        <v>0.1</v>
      </c>
      <c r="K6" s="3" t="s">
        <v>19</v>
      </c>
      <c r="L6" s="3"/>
      <c r="M6" s="3"/>
      <c r="N6" s="4"/>
      <c r="O6" s="3"/>
      <c r="P6" s="3"/>
      <c r="Q6" s="3" t="s">
        <v>20</v>
      </c>
      <c r="R6" s="3">
        <v>50</v>
      </c>
      <c r="S6" s="3">
        <v>19</v>
      </c>
      <c r="T6" s="3">
        <f>S6*1.5</f>
        <v>28.5</v>
      </c>
      <c r="U6" s="3"/>
      <c r="V6" s="5"/>
      <c r="W6" s="68" t="s">
        <v>341</v>
      </c>
      <c r="X6" s="68" t="s">
        <v>313</v>
      </c>
      <c r="Y6" s="68" t="s">
        <v>342</v>
      </c>
      <c r="Z6" s="41" t="s">
        <v>87</v>
      </c>
    </row>
    <row r="7" spans="1:26" ht="23" x14ac:dyDescent="0.75">
      <c r="A7" s="135"/>
      <c r="B7" s="1"/>
      <c r="C7" s="63">
        <v>5</v>
      </c>
      <c r="D7" s="108"/>
      <c r="E7" s="109"/>
      <c r="F7" s="19">
        <v>18040</v>
      </c>
      <c r="G7" s="3"/>
      <c r="H7" s="5" t="s">
        <v>88</v>
      </c>
      <c r="I7" s="4" t="s">
        <v>243</v>
      </c>
      <c r="J7" s="25">
        <v>0.1</v>
      </c>
      <c r="K7" s="3" t="s">
        <v>19</v>
      </c>
      <c r="L7" s="3"/>
      <c r="M7" s="3"/>
      <c r="N7" s="4"/>
      <c r="O7" s="3"/>
      <c r="P7" s="3"/>
      <c r="Q7" s="3" t="s">
        <v>20</v>
      </c>
      <c r="R7" s="3">
        <v>50</v>
      </c>
      <c r="S7" s="3" t="s">
        <v>89</v>
      </c>
      <c r="T7" s="3" t="s">
        <v>89</v>
      </c>
      <c r="U7" s="3"/>
      <c r="V7" s="5"/>
      <c r="W7" s="68" t="s">
        <v>341</v>
      </c>
      <c r="X7" s="68" t="s">
        <v>313</v>
      </c>
      <c r="Y7" s="68" t="s">
        <v>343</v>
      </c>
      <c r="Z7" s="41" t="s">
        <v>90</v>
      </c>
    </row>
    <row r="8" spans="1:26" ht="23" x14ac:dyDescent="0.75">
      <c r="A8" s="135"/>
      <c r="B8" s="1"/>
      <c r="C8" s="63">
        <v>6</v>
      </c>
      <c r="D8" s="108"/>
      <c r="E8" s="109"/>
      <c r="F8" s="19">
        <v>18100</v>
      </c>
      <c r="G8" s="3"/>
      <c r="H8" s="5" t="s">
        <v>91</v>
      </c>
      <c r="I8" s="4" t="s">
        <v>241</v>
      </c>
      <c r="J8" s="25">
        <v>0.1</v>
      </c>
      <c r="K8" s="3" t="s">
        <v>19</v>
      </c>
      <c r="L8" s="3"/>
      <c r="M8" s="3"/>
      <c r="N8" s="4"/>
      <c r="O8" s="3"/>
      <c r="P8" s="3"/>
      <c r="Q8" s="3" t="s">
        <v>20</v>
      </c>
      <c r="R8" s="3">
        <v>50</v>
      </c>
      <c r="S8" s="3">
        <v>16</v>
      </c>
      <c r="T8" s="3">
        <f t="shared" ref="T8:T41" si="0">S8*1.5</f>
        <v>24</v>
      </c>
      <c r="U8" s="3"/>
      <c r="V8" s="5"/>
      <c r="W8" s="68" t="s">
        <v>344</v>
      </c>
      <c r="X8" s="68" t="s">
        <v>313</v>
      </c>
      <c r="Y8" s="68" t="s">
        <v>327</v>
      </c>
      <c r="Z8" s="41" t="s">
        <v>82</v>
      </c>
    </row>
    <row r="9" spans="1:26" ht="12.75" customHeight="1" x14ac:dyDescent="0.75">
      <c r="A9" s="135"/>
      <c r="B9" s="1"/>
      <c r="C9" s="63">
        <v>7</v>
      </c>
      <c r="D9" s="108"/>
      <c r="E9" s="109"/>
      <c r="F9" s="19">
        <v>11080</v>
      </c>
      <c r="G9" s="3" t="s">
        <v>308</v>
      </c>
      <c r="H9" s="5" t="s">
        <v>18</v>
      </c>
      <c r="I9" s="4">
        <v>1</v>
      </c>
      <c r="J9" s="2">
        <v>0.1</v>
      </c>
      <c r="K9" s="3" t="s">
        <v>19</v>
      </c>
      <c r="L9" s="3"/>
      <c r="M9" s="3" t="s">
        <v>19</v>
      </c>
      <c r="N9" s="4"/>
      <c r="O9" s="3"/>
      <c r="P9" s="3"/>
      <c r="Q9" s="3" t="s">
        <v>20</v>
      </c>
      <c r="R9" s="3">
        <v>50</v>
      </c>
      <c r="S9" s="3">
        <v>19.3</v>
      </c>
      <c r="T9" s="3">
        <f t="shared" si="0"/>
        <v>28.950000000000003</v>
      </c>
      <c r="U9" s="3"/>
      <c r="V9" s="5"/>
      <c r="W9" s="68" t="s">
        <v>319</v>
      </c>
      <c r="X9" s="68" t="s">
        <v>313</v>
      </c>
      <c r="Y9" s="68" t="s">
        <v>321</v>
      </c>
      <c r="Z9" s="41" t="s">
        <v>40</v>
      </c>
    </row>
    <row r="10" spans="1:26" ht="12.75" customHeight="1" x14ac:dyDescent="0.75">
      <c r="A10" s="107">
        <v>2</v>
      </c>
      <c r="B10" s="1" t="s">
        <v>266</v>
      </c>
      <c r="C10" s="63">
        <v>8</v>
      </c>
      <c r="D10" s="108" t="s">
        <v>388</v>
      </c>
      <c r="E10" s="109"/>
      <c r="F10" s="19">
        <v>11010</v>
      </c>
      <c r="G10" s="3"/>
      <c r="H10" s="5" t="s">
        <v>18</v>
      </c>
      <c r="I10" s="4">
        <v>1</v>
      </c>
      <c r="J10" s="2">
        <v>0.1</v>
      </c>
      <c r="K10" s="3" t="s">
        <v>19</v>
      </c>
      <c r="L10" s="79">
        <v>0.1</v>
      </c>
      <c r="M10" s="3" t="s">
        <v>19</v>
      </c>
      <c r="N10" s="80">
        <v>0.05</v>
      </c>
      <c r="O10" s="3"/>
      <c r="P10" s="3"/>
      <c r="Q10" s="3" t="s">
        <v>20</v>
      </c>
      <c r="R10" s="3">
        <v>50</v>
      </c>
      <c r="S10" s="3">
        <v>19.3</v>
      </c>
      <c r="T10" s="3">
        <f t="shared" si="0"/>
        <v>28.950000000000003</v>
      </c>
      <c r="U10" s="3"/>
      <c r="V10" s="5"/>
      <c r="W10" s="68">
        <v>410</v>
      </c>
      <c r="X10" s="68" t="s">
        <v>313</v>
      </c>
      <c r="Y10" s="68" t="s">
        <v>318</v>
      </c>
      <c r="Z10" s="41" t="s">
        <v>21</v>
      </c>
    </row>
    <row r="11" spans="1:26" ht="12.75" customHeight="1" x14ac:dyDescent="0.75">
      <c r="A11" s="107"/>
      <c r="B11" s="1"/>
      <c r="C11" s="63">
        <v>9</v>
      </c>
      <c r="D11" s="108"/>
      <c r="E11" s="109"/>
      <c r="F11" s="19">
        <v>11020</v>
      </c>
      <c r="G11" s="3"/>
      <c r="H11" s="5" t="s">
        <v>18</v>
      </c>
      <c r="I11" s="4">
        <v>1</v>
      </c>
      <c r="J11" s="2">
        <v>0.1</v>
      </c>
      <c r="K11" s="3" t="s">
        <v>19</v>
      </c>
      <c r="L11" s="79">
        <v>0.1</v>
      </c>
      <c r="M11" s="3" t="s">
        <v>19</v>
      </c>
      <c r="N11" s="80">
        <v>0.05</v>
      </c>
      <c r="O11" s="3"/>
      <c r="P11" s="3"/>
      <c r="Q11" s="3" t="s">
        <v>20</v>
      </c>
      <c r="R11" s="3">
        <v>50</v>
      </c>
      <c r="S11" s="3">
        <v>19.3</v>
      </c>
      <c r="T11" s="3">
        <f t="shared" si="0"/>
        <v>28.950000000000003</v>
      </c>
      <c r="U11" s="3"/>
      <c r="V11" s="5"/>
      <c r="W11" s="68" t="s">
        <v>319</v>
      </c>
      <c r="X11" s="68" t="s">
        <v>313</v>
      </c>
      <c r="Y11" s="68" t="s">
        <v>321</v>
      </c>
      <c r="Z11" s="41" t="s">
        <v>25</v>
      </c>
    </row>
    <row r="12" spans="1:26" ht="12.75" customHeight="1" x14ac:dyDescent="0.75">
      <c r="A12" s="107"/>
      <c r="B12" s="1" t="s">
        <v>264</v>
      </c>
      <c r="C12" s="63">
        <v>10</v>
      </c>
      <c r="D12" s="108"/>
      <c r="E12" s="109"/>
      <c r="F12" s="19">
        <v>11050</v>
      </c>
      <c r="G12" s="3"/>
      <c r="H12" s="5" t="s">
        <v>18</v>
      </c>
      <c r="I12" s="4">
        <v>1</v>
      </c>
      <c r="J12" s="2">
        <v>0.1</v>
      </c>
      <c r="K12" s="3" t="s">
        <v>19</v>
      </c>
      <c r="L12" s="79">
        <v>0.1</v>
      </c>
      <c r="M12" s="3" t="s">
        <v>19</v>
      </c>
      <c r="N12" s="80">
        <v>0.05</v>
      </c>
      <c r="O12" s="3"/>
      <c r="P12" s="3"/>
      <c r="Q12" s="3" t="s">
        <v>20</v>
      </c>
      <c r="R12" s="3">
        <v>50</v>
      </c>
      <c r="S12" s="3">
        <v>19.3</v>
      </c>
      <c r="T12" s="3">
        <f t="shared" si="0"/>
        <v>28.950000000000003</v>
      </c>
      <c r="U12" s="3"/>
      <c r="V12" s="5"/>
      <c r="W12" s="68" t="s">
        <v>322</v>
      </c>
      <c r="X12" s="68" t="s">
        <v>313</v>
      </c>
      <c r="Y12" s="68" t="s">
        <v>323</v>
      </c>
      <c r="Z12" s="41" t="s">
        <v>29</v>
      </c>
    </row>
    <row r="13" spans="1:26" ht="23" x14ac:dyDescent="0.75">
      <c r="A13" s="107"/>
      <c r="B13" s="1" t="s">
        <v>271</v>
      </c>
      <c r="C13" s="63">
        <v>11</v>
      </c>
      <c r="D13" s="108" t="s">
        <v>392</v>
      </c>
      <c r="E13" s="109"/>
      <c r="F13" s="19" t="s">
        <v>32</v>
      </c>
      <c r="G13" s="3"/>
      <c r="H13" s="5" t="s">
        <v>23</v>
      </c>
      <c r="I13" s="4">
        <v>1</v>
      </c>
      <c r="J13" s="2">
        <v>0.1</v>
      </c>
      <c r="K13" s="3" t="s">
        <v>19</v>
      </c>
      <c r="L13" s="79">
        <v>0.1</v>
      </c>
      <c r="M13" s="3" t="s">
        <v>19</v>
      </c>
      <c r="N13" s="80">
        <v>0.05</v>
      </c>
      <c r="O13" s="3"/>
      <c r="P13" s="3"/>
      <c r="Q13" s="3" t="s">
        <v>20</v>
      </c>
      <c r="R13" s="3">
        <v>50</v>
      </c>
      <c r="S13" s="3">
        <v>19.3</v>
      </c>
      <c r="T13" s="3">
        <f t="shared" si="0"/>
        <v>28.950000000000003</v>
      </c>
      <c r="U13" s="3"/>
      <c r="V13" s="5"/>
      <c r="W13" s="68" t="s">
        <v>319</v>
      </c>
      <c r="X13" s="68" t="s">
        <v>320</v>
      </c>
      <c r="Y13" s="68" t="s">
        <v>318</v>
      </c>
      <c r="Z13" s="41" t="s">
        <v>33</v>
      </c>
    </row>
    <row r="14" spans="1:26" ht="12.75" customHeight="1" x14ac:dyDescent="0.75">
      <c r="A14" s="107"/>
      <c r="B14" s="1" t="s">
        <v>289</v>
      </c>
      <c r="C14" s="63">
        <v>12</v>
      </c>
      <c r="D14" s="108"/>
      <c r="E14" s="109"/>
      <c r="F14" s="19" t="s">
        <v>49</v>
      </c>
      <c r="G14" s="3"/>
      <c r="H14" s="5" t="s">
        <v>23</v>
      </c>
      <c r="I14" s="4">
        <v>1</v>
      </c>
      <c r="J14" s="2">
        <v>0.1</v>
      </c>
      <c r="K14" s="3" t="s">
        <v>19</v>
      </c>
      <c r="L14" s="79">
        <v>0.1</v>
      </c>
      <c r="M14" s="3" t="s">
        <v>19</v>
      </c>
      <c r="N14" s="80">
        <v>0.05</v>
      </c>
      <c r="O14" s="3"/>
      <c r="P14" s="3"/>
      <c r="Q14" s="3" t="s">
        <v>20</v>
      </c>
      <c r="R14" s="3">
        <v>50</v>
      </c>
      <c r="S14" s="3">
        <v>19.3</v>
      </c>
      <c r="T14" s="3">
        <f t="shared" si="0"/>
        <v>28.950000000000003</v>
      </c>
      <c r="U14" s="3"/>
      <c r="V14" s="5"/>
      <c r="W14" s="68" t="s">
        <v>319</v>
      </c>
      <c r="X14" s="68" t="s">
        <v>320</v>
      </c>
      <c r="Y14" s="68" t="s">
        <v>321</v>
      </c>
      <c r="Z14" s="41" t="s">
        <v>50</v>
      </c>
    </row>
    <row r="15" spans="1:26" ht="12.75" customHeight="1" x14ac:dyDescent="0.75">
      <c r="A15" s="107"/>
      <c r="B15" s="1" t="s">
        <v>272</v>
      </c>
      <c r="C15" s="63">
        <v>13</v>
      </c>
      <c r="D15" s="108" t="s">
        <v>388</v>
      </c>
      <c r="E15" s="109"/>
      <c r="F15" s="19" t="s">
        <v>53</v>
      </c>
      <c r="G15" s="3"/>
      <c r="H15" s="5" t="s">
        <v>27</v>
      </c>
      <c r="I15" s="4">
        <v>1</v>
      </c>
      <c r="J15" s="2">
        <v>0.1</v>
      </c>
      <c r="K15" s="3" t="s">
        <v>19</v>
      </c>
      <c r="L15" s="79">
        <v>0.1</v>
      </c>
      <c r="M15" s="3" t="s">
        <v>19</v>
      </c>
      <c r="N15" s="80">
        <v>0.05</v>
      </c>
      <c r="O15" s="3"/>
      <c r="P15" s="3"/>
      <c r="Q15" s="3" t="s">
        <v>20</v>
      </c>
      <c r="R15" s="3">
        <v>50</v>
      </c>
      <c r="S15" s="3">
        <v>19.3</v>
      </c>
      <c r="T15" s="3">
        <f t="shared" si="0"/>
        <v>28.950000000000003</v>
      </c>
      <c r="U15" s="3"/>
      <c r="V15" s="5"/>
      <c r="W15" s="68" t="s">
        <v>319</v>
      </c>
      <c r="X15" s="68" t="s">
        <v>313</v>
      </c>
      <c r="Y15" s="68" t="s">
        <v>323</v>
      </c>
      <c r="Z15" s="41" t="s">
        <v>54</v>
      </c>
    </row>
    <row r="16" spans="1:26" ht="23" x14ac:dyDescent="0.75">
      <c r="A16" s="121">
        <v>3</v>
      </c>
      <c r="B16" s="1"/>
      <c r="C16" s="63">
        <v>14</v>
      </c>
      <c r="D16" s="108" t="s">
        <v>392</v>
      </c>
      <c r="E16" s="109"/>
      <c r="F16" s="19" t="s">
        <v>22</v>
      </c>
      <c r="G16" s="3"/>
      <c r="H16" s="5" t="s">
        <v>23</v>
      </c>
      <c r="I16" s="4">
        <v>1</v>
      </c>
      <c r="J16" s="2">
        <v>1</v>
      </c>
      <c r="K16" s="3" t="s">
        <v>19</v>
      </c>
      <c r="L16" s="2">
        <v>1</v>
      </c>
      <c r="M16" s="3" t="s">
        <v>19</v>
      </c>
      <c r="N16" s="80">
        <v>0.1</v>
      </c>
      <c r="O16" s="3"/>
      <c r="P16" s="3"/>
      <c r="Q16" s="3" t="s">
        <v>20</v>
      </c>
      <c r="R16" s="3">
        <v>50</v>
      </c>
      <c r="S16" s="3">
        <v>19.3</v>
      </c>
      <c r="T16" s="3">
        <f t="shared" si="0"/>
        <v>28.950000000000003</v>
      </c>
      <c r="U16" s="3"/>
      <c r="V16" s="5"/>
      <c r="W16" s="68" t="s">
        <v>319</v>
      </c>
      <c r="X16" s="68" t="s">
        <v>320</v>
      </c>
      <c r="Y16" s="68" t="s">
        <v>318</v>
      </c>
      <c r="Z16" s="41" t="s">
        <v>24</v>
      </c>
    </row>
    <row r="17" spans="1:26" ht="23" x14ac:dyDescent="0.75">
      <c r="A17" s="121"/>
      <c r="B17" s="1"/>
      <c r="C17" s="63">
        <v>15</v>
      </c>
      <c r="D17" s="108" t="s">
        <v>388</v>
      </c>
      <c r="E17" s="109"/>
      <c r="F17" s="19" t="s">
        <v>26</v>
      </c>
      <c r="G17" s="3"/>
      <c r="H17" s="5" t="s">
        <v>27</v>
      </c>
      <c r="I17" s="4">
        <v>1</v>
      </c>
      <c r="J17" s="2">
        <v>1</v>
      </c>
      <c r="K17" s="3" t="s">
        <v>19</v>
      </c>
      <c r="L17" s="2">
        <v>1</v>
      </c>
      <c r="M17" s="3" t="s">
        <v>19</v>
      </c>
      <c r="N17" s="80">
        <v>0.1</v>
      </c>
      <c r="O17" s="3"/>
      <c r="P17" s="3"/>
      <c r="Q17" s="3" t="s">
        <v>20</v>
      </c>
      <c r="R17" s="3">
        <v>50</v>
      </c>
      <c r="S17" s="3">
        <v>19.3</v>
      </c>
      <c r="T17" s="3">
        <f t="shared" si="0"/>
        <v>28.950000000000003</v>
      </c>
      <c r="U17" s="3"/>
      <c r="V17" s="5"/>
      <c r="W17" s="68" t="s">
        <v>319</v>
      </c>
      <c r="X17" s="68" t="s">
        <v>313</v>
      </c>
      <c r="Y17" s="68" t="s">
        <v>321</v>
      </c>
      <c r="Z17" s="41" t="s">
        <v>28</v>
      </c>
    </row>
    <row r="18" spans="1:26" ht="12" customHeight="1" x14ac:dyDescent="0.75">
      <c r="A18" s="121"/>
      <c r="B18" s="1"/>
      <c r="C18" s="63">
        <v>16</v>
      </c>
      <c r="D18" s="108"/>
      <c r="E18" s="109"/>
      <c r="F18" s="19" t="s">
        <v>30</v>
      </c>
      <c r="G18" s="3"/>
      <c r="H18" s="5" t="s">
        <v>27</v>
      </c>
      <c r="I18" s="4">
        <v>1</v>
      </c>
      <c r="J18" s="2">
        <v>1</v>
      </c>
      <c r="K18" s="3" t="s">
        <v>19</v>
      </c>
      <c r="L18" s="2">
        <v>1</v>
      </c>
      <c r="M18" s="3" t="s">
        <v>19</v>
      </c>
      <c r="N18" s="80">
        <v>0.1</v>
      </c>
      <c r="O18" s="3"/>
      <c r="P18" s="3"/>
      <c r="Q18" s="3" t="s">
        <v>20</v>
      </c>
      <c r="R18" s="3">
        <v>50</v>
      </c>
      <c r="S18" s="3">
        <v>19.3</v>
      </c>
      <c r="T18" s="3">
        <f t="shared" si="0"/>
        <v>28.950000000000003</v>
      </c>
      <c r="U18" s="3"/>
      <c r="V18" s="5"/>
      <c r="W18" s="68" t="s">
        <v>322</v>
      </c>
      <c r="X18" s="68" t="s">
        <v>313</v>
      </c>
      <c r="Y18" s="68" t="s">
        <v>318</v>
      </c>
      <c r="Z18" s="41" t="s">
        <v>31</v>
      </c>
    </row>
    <row r="19" spans="1:26" ht="34.5" x14ac:dyDescent="0.75">
      <c r="A19" s="121"/>
      <c r="B19" s="1"/>
      <c r="C19" s="63">
        <v>17</v>
      </c>
      <c r="D19" s="108" t="s">
        <v>392</v>
      </c>
      <c r="E19" s="109"/>
      <c r="F19" s="19" t="s">
        <v>34</v>
      </c>
      <c r="G19" s="3"/>
      <c r="H19" s="5" t="s">
        <v>23</v>
      </c>
      <c r="I19" s="4">
        <v>1</v>
      </c>
      <c r="J19" s="2">
        <v>1</v>
      </c>
      <c r="K19" s="3" t="s">
        <v>19</v>
      </c>
      <c r="L19" s="2">
        <v>1</v>
      </c>
      <c r="M19" s="3" t="s">
        <v>19</v>
      </c>
      <c r="N19" s="80">
        <v>0.1</v>
      </c>
      <c r="O19" s="3"/>
      <c r="P19" s="3"/>
      <c r="Q19" s="3" t="s">
        <v>20</v>
      </c>
      <c r="R19" s="3">
        <v>50</v>
      </c>
      <c r="S19" s="3">
        <v>19.3</v>
      </c>
      <c r="T19" s="3">
        <f t="shared" si="0"/>
        <v>28.950000000000003</v>
      </c>
      <c r="U19" s="3"/>
      <c r="V19" s="5"/>
      <c r="W19" s="68" t="s">
        <v>319</v>
      </c>
      <c r="X19" s="68" t="s">
        <v>320</v>
      </c>
      <c r="Y19" s="68" t="s">
        <v>318</v>
      </c>
      <c r="Z19" s="41" t="s">
        <v>35</v>
      </c>
    </row>
    <row r="20" spans="1:26" ht="23" x14ac:dyDescent="0.75">
      <c r="A20" s="121"/>
      <c r="B20" s="1"/>
      <c r="C20" s="63">
        <v>18</v>
      </c>
      <c r="D20" s="108" t="s">
        <v>388</v>
      </c>
      <c r="E20" s="109"/>
      <c r="F20" s="19" t="s">
        <v>36</v>
      </c>
      <c r="G20" s="3"/>
      <c r="H20" s="5" t="s">
        <v>27</v>
      </c>
      <c r="I20" s="4">
        <v>1</v>
      </c>
      <c r="J20" s="2">
        <v>1</v>
      </c>
      <c r="K20" s="3" t="s">
        <v>19</v>
      </c>
      <c r="L20" s="2">
        <v>1</v>
      </c>
      <c r="M20" s="3" t="s">
        <v>19</v>
      </c>
      <c r="N20" s="80">
        <v>0.1</v>
      </c>
      <c r="O20" s="3"/>
      <c r="P20" s="3"/>
      <c r="Q20" s="3" t="s">
        <v>20</v>
      </c>
      <c r="R20" s="3">
        <v>50</v>
      </c>
      <c r="S20" s="3">
        <v>19.3</v>
      </c>
      <c r="T20" s="3">
        <f t="shared" si="0"/>
        <v>28.950000000000003</v>
      </c>
      <c r="U20" s="3"/>
      <c r="V20" s="5"/>
      <c r="W20" s="68" t="s">
        <v>322</v>
      </c>
      <c r="X20" s="68" t="s">
        <v>313</v>
      </c>
      <c r="Y20" s="68" t="s">
        <v>318</v>
      </c>
      <c r="Z20" s="41" t="s">
        <v>37</v>
      </c>
    </row>
    <row r="21" spans="1:26" ht="12" customHeight="1" x14ac:dyDescent="0.75">
      <c r="A21" s="121"/>
      <c r="B21" s="1"/>
      <c r="C21" s="63">
        <v>19</v>
      </c>
      <c r="D21" s="108"/>
      <c r="E21" s="109"/>
      <c r="F21" s="19" t="s">
        <v>38</v>
      </c>
      <c r="G21" s="3"/>
      <c r="H21" s="5" t="s">
        <v>27</v>
      </c>
      <c r="I21" s="4">
        <v>1</v>
      </c>
      <c r="J21" s="2">
        <v>1</v>
      </c>
      <c r="K21" s="3" t="s">
        <v>19</v>
      </c>
      <c r="L21" s="79">
        <v>1</v>
      </c>
      <c r="M21" s="3" t="s">
        <v>19</v>
      </c>
      <c r="N21" s="80">
        <v>0.1</v>
      </c>
      <c r="O21" s="3"/>
      <c r="P21" s="3"/>
      <c r="Q21" s="3" t="s">
        <v>20</v>
      </c>
      <c r="R21" s="3">
        <v>50</v>
      </c>
      <c r="S21" s="3">
        <v>19.3</v>
      </c>
      <c r="T21" s="3">
        <f t="shared" si="0"/>
        <v>28.950000000000003</v>
      </c>
      <c r="U21" s="3"/>
      <c r="V21" s="5"/>
      <c r="W21" s="68" t="s">
        <v>322</v>
      </c>
      <c r="X21" s="68" t="s">
        <v>313</v>
      </c>
      <c r="Y21" s="68" t="s">
        <v>318</v>
      </c>
      <c r="Z21" s="41" t="s">
        <v>39</v>
      </c>
    </row>
    <row r="22" spans="1:26" ht="23" x14ac:dyDescent="0.75">
      <c r="A22" s="121"/>
      <c r="B22" s="1"/>
      <c r="C22" s="63">
        <v>20</v>
      </c>
      <c r="D22" s="108" t="s">
        <v>392</v>
      </c>
      <c r="E22" s="109"/>
      <c r="F22" s="19" t="s">
        <v>51</v>
      </c>
      <c r="G22" s="3"/>
      <c r="H22" s="5" t="s">
        <v>23</v>
      </c>
      <c r="I22" s="4">
        <v>1</v>
      </c>
      <c r="J22" s="2">
        <v>1</v>
      </c>
      <c r="K22" s="3" t="s">
        <v>19</v>
      </c>
      <c r="L22" s="2">
        <v>1</v>
      </c>
      <c r="M22" s="3" t="s">
        <v>19</v>
      </c>
      <c r="N22" s="80">
        <v>0.1</v>
      </c>
      <c r="O22" s="3"/>
      <c r="P22" s="3"/>
      <c r="Q22" s="3" t="s">
        <v>20</v>
      </c>
      <c r="R22" s="3">
        <v>50</v>
      </c>
      <c r="S22" s="3">
        <v>19.3</v>
      </c>
      <c r="T22" s="3">
        <f t="shared" si="0"/>
        <v>28.950000000000003</v>
      </c>
      <c r="U22" s="3"/>
      <c r="V22" s="5"/>
      <c r="W22" s="68" t="s">
        <v>319</v>
      </c>
      <c r="X22" s="68" t="s">
        <v>320</v>
      </c>
      <c r="Y22" s="68" t="s">
        <v>321</v>
      </c>
      <c r="Z22" s="41" t="s">
        <v>52</v>
      </c>
    </row>
    <row r="23" spans="1:26" ht="23" x14ac:dyDescent="0.75">
      <c r="A23" s="121"/>
      <c r="B23" s="1"/>
      <c r="C23" s="63">
        <v>21</v>
      </c>
      <c r="D23" s="108" t="s">
        <v>388</v>
      </c>
      <c r="E23" s="109"/>
      <c r="F23" s="19" t="s">
        <v>55</v>
      </c>
      <c r="G23" s="3"/>
      <c r="H23" s="5" t="s">
        <v>27</v>
      </c>
      <c r="I23" s="4">
        <v>1</v>
      </c>
      <c r="J23" s="2">
        <v>1</v>
      </c>
      <c r="K23" s="3" t="s">
        <v>19</v>
      </c>
      <c r="L23" s="2">
        <v>1</v>
      </c>
      <c r="M23" s="3" t="s">
        <v>19</v>
      </c>
      <c r="N23" s="80">
        <v>0.1</v>
      </c>
      <c r="O23" s="3"/>
      <c r="P23" s="3"/>
      <c r="Q23" s="3" t="s">
        <v>20</v>
      </c>
      <c r="R23" s="3">
        <v>50</v>
      </c>
      <c r="S23" s="3">
        <v>19.3</v>
      </c>
      <c r="T23" s="3">
        <f t="shared" si="0"/>
        <v>28.950000000000003</v>
      </c>
      <c r="U23" s="3"/>
      <c r="V23" s="5"/>
      <c r="W23" s="68" t="s">
        <v>319</v>
      </c>
      <c r="X23" s="68" t="s">
        <v>313</v>
      </c>
      <c r="Y23" s="68" t="s">
        <v>318</v>
      </c>
      <c r="Z23" s="41" t="s">
        <v>56</v>
      </c>
    </row>
    <row r="24" spans="1:26" x14ac:dyDescent="0.75">
      <c r="A24" s="121"/>
      <c r="B24" s="1"/>
      <c r="C24" s="63">
        <v>22</v>
      </c>
      <c r="D24" s="108" t="s">
        <v>389</v>
      </c>
      <c r="E24" s="109"/>
      <c r="F24" s="19">
        <v>11170</v>
      </c>
      <c r="G24" s="3"/>
      <c r="H24" s="5" t="s">
        <v>57</v>
      </c>
      <c r="I24" s="4">
        <v>1</v>
      </c>
      <c r="J24" s="2">
        <v>1</v>
      </c>
      <c r="K24" s="3" t="s">
        <v>19</v>
      </c>
      <c r="L24" s="79">
        <v>1</v>
      </c>
      <c r="M24" s="3" t="s">
        <v>19</v>
      </c>
      <c r="N24" s="80">
        <v>0.1</v>
      </c>
      <c r="O24" s="3"/>
      <c r="P24" s="3"/>
      <c r="Q24" s="3" t="s">
        <v>20</v>
      </c>
      <c r="R24" s="3">
        <v>50</v>
      </c>
      <c r="S24" s="3">
        <v>19.3</v>
      </c>
      <c r="T24" s="3">
        <f t="shared" si="0"/>
        <v>28.950000000000003</v>
      </c>
      <c r="U24" s="3"/>
      <c r="V24" s="5"/>
      <c r="W24" s="68" t="s">
        <v>324</v>
      </c>
      <c r="X24" s="68" t="s">
        <v>325</v>
      </c>
      <c r="Y24" s="68" t="s">
        <v>326</v>
      </c>
      <c r="Z24" s="41" t="s">
        <v>58</v>
      </c>
    </row>
    <row r="25" spans="1:26" ht="12" customHeight="1" x14ac:dyDescent="0.75">
      <c r="A25" s="121"/>
      <c r="B25" s="1"/>
      <c r="C25" s="63">
        <v>23</v>
      </c>
      <c r="D25" s="108" t="s">
        <v>388</v>
      </c>
      <c r="E25" s="109"/>
      <c r="F25" s="19" t="s">
        <v>215</v>
      </c>
      <c r="G25" s="3"/>
      <c r="H25" s="5" t="s">
        <v>27</v>
      </c>
      <c r="I25" s="4">
        <v>1</v>
      </c>
      <c r="J25" s="2">
        <v>0.1</v>
      </c>
      <c r="K25" s="3" t="s">
        <v>19</v>
      </c>
      <c r="L25" s="79">
        <v>1</v>
      </c>
      <c r="M25" s="3"/>
      <c r="N25" s="80">
        <v>0.1</v>
      </c>
      <c r="O25" s="3"/>
      <c r="P25" s="3"/>
      <c r="Q25" s="3" t="s">
        <v>20</v>
      </c>
      <c r="R25" s="3">
        <v>50</v>
      </c>
      <c r="S25" s="3">
        <v>19.3</v>
      </c>
      <c r="T25" s="3">
        <f t="shared" si="0"/>
        <v>28.950000000000003</v>
      </c>
      <c r="U25" s="3"/>
      <c r="V25" s="5"/>
      <c r="W25" s="68" t="s">
        <v>376</v>
      </c>
      <c r="X25" s="68" t="s">
        <v>313</v>
      </c>
      <c r="Y25" s="68" t="s">
        <v>318</v>
      </c>
      <c r="Z25" s="41" t="s">
        <v>377</v>
      </c>
    </row>
    <row r="26" spans="1:26" ht="12.75" customHeight="1" x14ac:dyDescent="0.75">
      <c r="A26" s="121"/>
      <c r="B26" s="1"/>
      <c r="C26" s="63">
        <v>24</v>
      </c>
      <c r="D26" s="108"/>
      <c r="E26" s="109"/>
      <c r="F26" s="19" t="s">
        <v>216</v>
      </c>
      <c r="G26" s="3"/>
      <c r="H26" s="5" t="s">
        <v>27</v>
      </c>
      <c r="I26" s="4">
        <v>1</v>
      </c>
      <c r="J26" s="2">
        <v>0.1</v>
      </c>
      <c r="K26" s="3" t="s">
        <v>19</v>
      </c>
      <c r="L26" s="79">
        <v>1</v>
      </c>
      <c r="M26" s="3"/>
      <c r="N26" s="80">
        <v>0.1</v>
      </c>
      <c r="O26" s="3"/>
      <c r="P26" s="3"/>
      <c r="Q26" s="3" t="s">
        <v>20</v>
      </c>
      <c r="R26" s="3">
        <v>50</v>
      </c>
      <c r="S26" s="3">
        <v>19.3</v>
      </c>
      <c r="T26" s="3">
        <f t="shared" si="0"/>
        <v>28.950000000000003</v>
      </c>
      <c r="U26" s="3"/>
      <c r="V26" s="5"/>
      <c r="W26" s="68" t="s">
        <v>368</v>
      </c>
      <c r="X26" s="68" t="s">
        <v>313</v>
      </c>
      <c r="Y26" s="68" t="s">
        <v>346</v>
      </c>
      <c r="Z26" s="41" t="s">
        <v>297</v>
      </c>
    </row>
    <row r="27" spans="1:26" ht="12.75" customHeight="1" x14ac:dyDescent="0.75">
      <c r="A27" s="121"/>
      <c r="B27" s="1"/>
      <c r="C27" s="63">
        <v>25</v>
      </c>
      <c r="D27" s="108"/>
      <c r="E27" s="109"/>
      <c r="F27" s="19" t="s">
        <v>220</v>
      </c>
      <c r="G27" s="3"/>
      <c r="H27" s="5" t="s">
        <v>27</v>
      </c>
      <c r="I27" s="4">
        <v>1</v>
      </c>
      <c r="J27" s="2">
        <v>0.1</v>
      </c>
      <c r="K27" s="3" t="s">
        <v>19</v>
      </c>
      <c r="L27" s="79">
        <v>1</v>
      </c>
      <c r="M27" s="3"/>
      <c r="N27" s="80">
        <v>0.1</v>
      </c>
      <c r="O27" s="3"/>
      <c r="P27" s="3"/>
      <c r="Q27" s="3" t="s">
        <v>20</v>
      </c>
      <c r="R27" s="3">
        <v>50</v>
      </c>
      <c r="S27" s="3">
        <v>19.3</v>
      </c>
      <c r="T27" s="3">
        <f t="shared" si="0"/>
        <v>28.950000000000003</v>
      </c>
      <c r="U27" s="3"/>
      <c r="V27" s="5"/>
      <c r="W27" s="68" t="s">
        <v>381</v>
      </c>
      <c r="X27" s="68" t="s">
        <v>313</v>
      </c>
      <c r="Y27" s="68" t="s">
        <v>318</v>
      </c>
      <c r="Z27" s="41" t="s">
        <v>54</v>
      </c>
    </row>
    <row r="28" spans="1:26" ht="12.75" customHeight="1" x14ac:dyDescent="0.75">
      <c r="A28" s="121"/>
      <c r="B28" s="1"/>
      <c r="C28" s="63">
        <v>26</v>
      </c>
      <c r="D28" s="108"/>
      <c r="E28" s="109"/>
      <c r="F28" s="19" t="s">
        <v>236</v>
      </c>
      <c r="G28" s="3"/>
      <c r="H28" s="5" t="s">
        <v>27</v>
      </c>
      <c r="I28" s="4">
        <v>1</v>
      </c>
      <c r="J28" s="2">
        <v>0.1</v>
      </c>
      <c r="K28" s="3" t="s">
        <v>19</v>
      </c>
      <c r="L28" s="79">
        <v>1</v>
      </c>
      <c r="M28" s="3"/>
      <c r="N28" s="80">
        <v>0.1</v>
      </c>
      <c r="O28" s="3"/>
      <c r="P28" s="3"/>
      <c r="Q28" s="3" t="s">
        <v>20</v>
      </c>
      <c r="R28" s="3">
        <v>50</v>
      </c>
      <c r="S28" s="3">
        <v>19.3</v>
      </c>
      <c r="T28" s="3">
        <f t="shared" si="0"/>
        <v>28.950000000000003</v>
      </c>
      <c r="U28" s="3"/>
      <c r="V28" s="5"/>
      <c r="W28" s="68" t="s">
        <v>324</v>
      </c>
      <c r="X28" s="68" t="s">
        <v>313</v>
      </c>
      <c r="Y28" s="68" t="s">
        <v>332</v>
      </c>
      <c r="Z28" s="41" t="s">
        <v>298</v>
      </c>
    </row>
    <row r="29" spans="1:26" ht="12.75" customHeight="1" x14ac:dyDescent="0.75">
      <c r="A29" s="121"/>
      <c r="B29" s="1"/>
      <c r="C29" s="63">
        <v>27</v>
      </c>
      <c r="D29" s="108"/>
      <c r="E29" s="109"/>
      <c r="F29" s="19" t="s">
        <v>237</v>
      </c>
      <c r="G29" s="3"/>
      <c r="H29" s="5" t="s">
        <v>27</v>
      </c>
      <c r="I29" s="4">
        <v>1</v>
      </c>
      <c r="J29" s="2">
        <v>0.1</v>
      </c>
      <c r="K29" s="3" t="s">
        <v>19</v>
      </c>
      <c r="L29" s="79">
        <v>1</v>
      </c>
      <c r="M29" s="3"/>
      <c r="N29" s="80">
        <v>0.1</v>
      </c>
      <c r="O29" s="3"/>
      <c r="P29" s="3"/>
      <c r="Q29" s="3" t="s">
        <v>20</v>
      </c>
      <c r="R29" s="3">
        <v>50</v>
      </c>
      <c r="S29" s="3">
        <v>19.3</v>
      </c>
      <c r="T29" s="3">
        <f t="shared" si="0"/>
        <v>28.950000000000003</v>
      </c>
      <c r="U29" s="3"/>
      <c r="V29" s="5"/>
      <c r="W29" s="68" t="s">
        <v>324</v>
      </c>
      <c r="X29" s="68" t="s">
        <v>313</v>
      </c>
      <c r="Y29" s="68" t="s">
        <v>332</v>
      </c>
      <c r="Z29" s="41" t="s">
        <v>298</v>
      </c>
    </row>
    <row r="30" spans="1:26" ht="12.75" customHeight="1" x14ac:dyDescent="0.75">
      <c r="A30" s="121"/>
      <c r="B30" s="1"/>
      <c r="C30" s="63">
        <v>28</v>
      </c>
      <c r="D30" s="108"/>
      <c r="E30" s="109"/>
      <c r="F30" s="19" t="s">
        <v>219</v>
      </c>
      <c r="G30" s="3"/>
      <c r="H30" s="5" t="s">
        <v>27</v>
      </c>
      <c r="I30" s="4">
        <v>1</v>
      </c>
      <c r="J30" s="2">
        <v>1</v>
      </c>
      <c r="K30" s="3" t="s">
        <v>19</v>
      </c>
      <c r="L30" s="79">
        <v>1</v>
      </c>
      <c r="M30" s="3"/>
      <c r="N30" s="80">
        <v>0.1</v>
      </c>
      <c r="O30" s="3"/>
      <c r="P30" s="3"/>
      <c r="Q30" s="3" t="s">
        <v>20</v>
      </c>
      <c r="R30" s="3">
        <v>50</v>
      </c>
      <c r="S30" s="3">
        <v>19.3</v>
      </c>
      <c r="T30" s="3">
        <f t="shared" si="0"/>
        <v>28.950000000000003</v>
      </c>
      <c r="U30" s="3"/>
      <c r="V30" s="5"/>
      <c r="W30" s="68" t="s">
        <v>380</v>
      </c>
      <c r="X30" s="68" t="s">
        <v>313</v>
      </c>
      <c r="Y30" s="68" t="s">
        <v>318</v>
      </c>
      <c r="Z30" s="41" t="s">
        <v>39</v>
      </c>
    </row>
    <row r="31" spans="1:26" ht="12.75" customHeight="1" x14ac:dyDescent="0.75">
      <c r="A31" s="121"/>
      <c r="B31" s="1"/>
      <c r="C31" s="63">
        <v>29</v>
      </c>
      <c r="D31" s="108" t="s">
        <v>392</v>
      </c>
      <c r="E31" s="109"/>
      <c r="F31" s="19" t="s">
        <v>221</v>
      </c>
      <c r="G31" s="3"/>
      <c r="H31" s="5" t="s">
        <v>23</v>
      </c>
      <c r="I31" s="4">
        <v>1</v>
      </c>
      <c r="J31" s="2">
        <v>1</v>
      </c>
      <c r="K31" s="3" t="s">
        <v>19</v>
      </c>
      <c r="L31" s="79">
        <v>1</v>
      </c>
      <c r="M31" s="3"/>
      <c r="N31" s="80">
        <v>0.1</v>
      </c>
      <c r="O31" s="3"/>
      <c r="P31" s="3"/>
      <c r="Q31" s="3" t="s">
        <v>20</v>
      </c>
      <c r="R31" s="3">
        <v>50</v>
      </c>
      <c r="S31" s="3">
        <v>19.3</v>
      </c>
      <c r="T31" s="3">
        <f t="shared" si="0"/>
        <v>28.950000000000003</v>
      </c>
      <c r="U31" s="3"/>
      <c r="V31" s="5"/>
      <c r="W31" s="68" t="s">
        <v>319</v>
      </c>
      <c r="X31" s="68" t="s">
        <v>320</v>
      </c>
      <c r="Y31" s="68" t="s">
        <v>321</v>
      </c>
      <c r="Z31" s="41" t="s">
        <v>382</v>
      </c>
    </row>
    <row r="32" spans="1:26" ht="12.75" customHeight="1" x14ac:dyDescent="0.75">
      <c r="A32" s="121"/>
      <c r="B32" s="1"/>
      <c r="C32" s="63">
        <v>30</v>
      </c>
      <c r="D32" s="108"/>
      <c r="E32" s="109"/>
      <c r="F32" s="19" t="s">
        <v>238</v>
      </c>
      <c r="G32" s="3"/>
      <c r="H32" s="5" t="s">
        <v>23</v>
      </c>
      <c r="I32" s="4">
        <v>1</v>
      </c>
      <c r="J32" s="2">
        <v>1</v>
      </c>
      <c r="K32" s="3" t="s">
        <v>19</v>
      </c>
      <c r="L32" s="79">
        <v>1</v>
      </c>
      <c r="M32" s="3"/>
      <c r="N32" s="80">
        <v>0.1</v>
      </c>
      <c r="O32" s="3"/>
      <c r="P32" s="3"/>
      <c r="Q32" s="3" t="s">
        <v>20</v>
      </c>
      <c r="R32" s="3">
        <v>50</v>
      </c>
      <c r="S32" s="3">
        <v>19.3</v>
      </c>
      <c r="T32" s="3">
        <f t="shared" si="0"/>
        <v>28.950000000000003</v>
      </c>
      <c r="U32" s="3"/>
      <c r="V32" s="5"/>
      <c r="W32" s="68" t="s">
        <v>324</v>
      </c>
      <c r="X32" s="68" t="s">
        <v>320</v>
      </c>
      <c r="Y32" s="68" t="s">
        <v>332</v>
      </c>
      <c r="Z32" s="41" t="s">
        <v>299</v>
      </c>
    </row>
    <row r="33" spans="1:26" ht="23" x14ac:dyDescent="0.75">
      <c r="A33" s="121"/>
      <c r="B33" s="1"/>
      <c r="C33" s="63">
        <v>31</v>
      </c>
      <c r="D33" s="108"/>
      <c r="E33" s="109"/>
      <c r="F33" s="19" t="s">
        <v>234</v>
      </c>
      <c r="G33" s="3"/>
      <c r="H33" s="5" t="s">
        <v>235</v>
      </c>
      <c r="I33" s="4" t="s">
        <v>247</v>
      </c>
      <c r="J33" s="2">
        <v>0.1</v>
      </c>
      <c r="K33" s="3" t="s">
        <v>19</v>
      </c>
      <c r="L33" s="79">
        <v>1</v>
      </c>
      <c r="M33" s="3"/>
      <c r="N33" s="80">
        <v>0.1</v>
      </c>
      <c r="O33" s="3"/>
      <c r="P33" s="3"/>
      <c r="Q33" s="3" t="s">
        <v>20</v>
      </c>
      <c r="R33" s="3">
        <v>50</v>
      </c>
      <c r="S33" s="3">
        <v>19.3</v>
      </c>
      <c r="T33" s="3">
        <f t="shared" si="0"/>
        <v>28.950000000000003</v>
      </c>
      <c r="U33" s="3"/>
      <c r="V33" s="5"/>
      <c r="W33" s="68" t="s">
        <v>319</v>
      </c>
      <c r="X33" s="68" t="s">
        <v>320</v>
      </c>
      <c r="Y33" s="68" t="s">
        <v>318</v>
      </c>
      <c r="Z33" s="41" t="s">
        <v>300</v>
      </c>
    </row>
    <row r="34" spans="1:26" ht="23" x14ac:dyDescent="0.75">
      <c r="A34" s="121">
        <v>4</v>
      </c>
      <c r="B34" s="1"/>
      <c r="C34" s="63">
        <v>32</v>
      </c>
      <c r="D34" s="108" t="s">
        <v>390</v>
      </c>
      <c r="E34" s="109"/>
      <c r="F34" s="19" t="s">
        <v>41</v>
      </c>
      <c r="G34" s="3"/>
      <c r="H34" s="5" t="s">
        <v>23</v>
      </c>
      <c r="I34" s="4">
        <v>1</v>
      </c>
      <c r="J34" s="2">
        <v>1</v>
      </c>
      <c r="K34" s="3" t="s">
        <v>19</v>
      </c>
      <c r="L34" s="2">
        <v>1</v>
      </c>
      <c r="M34" s="3" t="s">
        <v>19</v>
      </c>
      <c r="N34" s="80">
        <v>1</v>
      </c>
      <c r="O34" s="3"/>
      <c r="P34" s="3"/>
      <c r="Q34" s="3" t="s">
        <v>20</v>
      </c>
      <c r="R34" s="3">
        <v>50</v>
      </c>
      <c r="S34" s="3">
        <v>19.3</v>
      </c>
      <c r="T34" s="3">
        <f t="shared" si="0"/>
        <v>28.950000000000003</v>
      </c>
      <c r="U34" s="3" t="s">
        <v>44</v>
      </c>
      <c r="V34" s="5"/>
      <c r="W34" s="68" t="s">
        <v>319</v>
      </c>
      <c r="X34" s="68" t="s">
        <v>320</v>
      </c>
      <c r="Y34" s="68" t="s">
        <v>321</v>
      </c>
      <c r="Z34" s="41" t="s">
        <v>42</v>
      </c>
    </row>
    <row r="35" spans="1:26" ht="23" x14ac:dyDescent="0.75">
      <c r="A35" s="121"/>
      <c r="B35" s="1"/>
      <c r="C35" s="63">
        <v>33</v>
      </c>
      <c r="D35" s="108"/>
      <c r="E35" s="109"/>
      <c r="F35" s="19" t="s">
        <v>43</v>
      </c>
      <c r="G35" s="3"/>
      <c r="H35" s="5" t="s">
        <v>23</v>
      </c>
      <c r="I35" s="4">
        <v>1</v>
      </c>
      <c r="J35" s="79">
        <v>1</v>
      </c>
      <c r="K35" s="3" t="s">
        <v>19</v>
      </c>
      <c r="L35" s="79">
        <v>1</v>
      </c>
      <c r="M35" s="3" t="s">
        <v>19</v>
      </c>
      <c r="N35" s="80">
        <v>1</v>
      </c>
      <c r="O35" s="3"/>
      <c r="P35" s="3"/>
      <c r="Q35" s="3" t="s">
        <v>20</v>
      </c>
      <c r="R35" s="3">
        <v>50</v>
      </c>
      <c r="S35" s="3">
        <v>19.3</v>
      </c>
      <c r="T35" s="3">
        <f t="shared" si="0"/>
        <v>28.950000000000003</v>
      </c>
      <c r="U35" s="3" t="s">
        <v>44</v>
      </c>
      <c r="V35" s="5"/>
      <c r="W35" s="68" t="s">
        <v>319</v>
      </c>
      <c r="X35" s="68" t="s">
        <v>320</v>
      </c>
      <c r="Y35" s="68" t="s">
        <v>321</v>
      </c>
      <c r="Z35" s="41" t="s">
        <v>45</v>
      </c>
    </row>
    <row r="36" spans="1:26" ht="23" x14ac:dyDescent="0.75">
      <c r="A36" s="121"/>
      <c r="B36" s="1" t="s">
        <v>265</v>
      </c>
      <c r="C36" s="63">
        <v>34</v>
      </c>
      <c r="D36" s="108"/>
      <c r="E36" s="109"/>
      <c r="F36" s="19" t="s">
        <v>46</v>
      </c>
      <c r="G36" s="3"/>
      <c r="H36" s="5" t="s">
        <v>23</v>
      </c>
      <c r="I36" s="4">
        <v>1</v>
      </c>
      <c r="J36" s="2">
        <v>1</v>
      </c>
      <c r="K36" s="3" t="s">
        <v>19</v>
      </c>
      <c r="L36" s="2">
        <v>1</v>
      </c>
      <c r="M36" s="3" t="s">
        <v>19</v>
      </c>
      <c r="N36" s="80">
        <v>1</v>
      </c>
      <c r="O36" s="3"/>
      <c r="P36" s="3"/>
      <c r="Q36" s="3" t="s">
        <v>20</v>
      </c>
      <c r="R36" s="3">
        <v>50</v>
      </c>
      <c r="S36" s="3">
        <v>19.3</v>
      </c>
      <c r="T36" s="3">
        <f t="shared" si="0"/>
        <v>28.950000000000003</v>
      </c>
      <c r="U36" s="3" t="s">
        <v>44</v>
      </c>
      <c r="V36" s="5"/>
      <c r="W36" s="68" t="s">
        <v>319</v>
      </c>
      <c r="X36" s="68" t="s">
        <v>320</v>
      </c>
      <c r="Y36" s="68" t="s">
        <v>321</v>
      </c>
      <c r="Z36" s="41" t="s">
        <v>45</v>
      </c>
    </row>
    <row r="37" spans="1:26" ht="12.75" customHeight="1" x14ac:dyDescent="0.75">
      <c r="A37" s="121"/>
      <c r="B37" s="1"/>
      <c r="C37" s="63">
        <v>35</v>
      </c>
      <c r="D37" s="108"/>
      <c r="E37" s="109"/>
      <c r="F37" s="19" t="s">
        <v>47</v>
      </c>
      <c r="G37" s="3"/>
      <c r="H37" s="5" t="s">
        <v>23</v>
      </c>
      <c r="I37" s="4">
        <v>1</v>
      </c>
      <c r="J37" s="79">
        <v>1</v>
      </c>
      <c r="K37" s="3" t="s">
        <v>19</v>
      </c>
      <c r="L37" s="79">
        <v>1</v>
      </c>
      <c r="M37" s="3" t="s">
        <v>19</v>
      </c>
      <c r="N37" s="80">
        <v>1</v>
      </c>
      <c r="O37" s="3"/>
      <c r="P37" s="3"/>
      <c r="Q37" s="3" t="s">
        <v>20</v>
      </c>
      <c r="R37" s="3">
        <v>50</v>
      </c>
      <c r="S37" s="3">
        <v>19.3</v>
      </c>
      <c r="T37" s="3">
        <f t="shared" si="0"/>
        <v>28.950000000000003</v>
      </c>
      <c r="U37" s="3" t="s">
        <v>44</v>
      </c>
      <c r="V37" s="5"/>
      <c r="W37" s="68" t="s">
        <v>319</v>
      </c>
      <c r="X37" s="68" t="s">
        <v>320</v>
      </c>
      <c r="Y37" s="68" t="s">
        <v>321</v>
      </c>
      <c r="Z37" s="41" t="s">
        <v>48</v>
      </c>
    </row>
    <row r="38" spans="1:26" ht="23" x14ac:dyDescent="0.75">
      <c r="A38" s="121"/>
      <c r="B38" s="1"/>
      <c r="C38" s="63">
        <v>36</v>
      </c>
      <c r="D38" s="108" t="s">
        <v>388</v>
      </c>
      <c r="E38" s="109"/>
      <c r="F38" s="19">
        <v>11370</v>
      </c>
      <c r="G38" s="3"/>
      <c r="H38" s="5" t="s">
        <v>18</v>
      </c>
      <c r="I38" s="4">
        <v>1</v>
      </c>
      <c r="J38" s="79">
        <v>1</v>
      </c>
      <c r="K38" s="3" t="s">
        <v>19</v>
      </c>
      <c r="L38" s="79">
        <v>1</v>
      </c>
      <c r="M38" s="3" t="s">
        <v>19</v>
      </c>
      <c r="N38" s="80">
        <v>1</v>
      </c>
      <c r="O38" s="3"/>
      <c r="P38" s="3"/>
      <c r="Q38" s="3" t="s">
        <v>20</v>
      </c>
      <c r="R38" s="3">
        <v>50</v>
      </c>
      <c r="S38" s="3">
        <v>19.3</v>
      </c>
      <c r="T38" s="3">
        <f t="shared" si="0"/>
        <v>28.950000000000003</v>
      </c>
      <c r="U38" s="3"/>
      <c r="V38" s="5"/>
      <c r="W38" s="68" t="s">
        <v>324</v>
      </c>
      <c r="X38" s="68" t="s">
        <v>313</v>
      </c>
      <c r="Y38" s="68" t="s">
        <v>328</v>
      </c>
      <c r="Z38" s="41" t="s">
        <v>61</v>
      </c>
    </row>
    <row r="39" spans="1:26" ht="21.75" customHeight="1" x14ac:dyDescent="0.75">
      <c r="A39" s="121"/>
      <c r="B39" s="1"/>
      <c r="C39" s="63">
        <v>37</v>
      </c>
      <c r="D39" s="108" t="s">
        <v>391</v>
      </c>
      <c r="E39" s="109"/>
      <c r="F39" s="19">
        <v>11371</v>
      </c>
      <c r="G39" s="3"/>
      <c r="H39" s="5" t="s">
        <v>18</v>
      </c>
      <c r="I39" s="4">
        <v>1</v>
      </c>
      <c r="J39" s="79">
        <v>1</v>
      </c>
      <c r="K39" s="3" t="s">
        <v>19</v>
      </c>
      <c r="L39" s="81"/>
      <c r="M39" s="3" t="s">
        <v>19</v>
      </c>
      <c r="N39" s="80">
        <v>1</v>
      </c>
      <c r="O39" s="3"/>
      <c r="P39" s="3"/>
      <c r="Q39" s="3" t="s">
        <v>20</v>
      </c>
      <c r="R39" s="3">
        <v>50</v>
      </c>
      <c r="S39" s="3">
        <v>19.3</v>
      </c>
      <c r="T39" s="3">
        <f t="shared" si="0"/>
        <v>28.950000000000003</v>
      </c>
      <c r="U39" s="3" t="s">
        <v>20</v>
      </c>
      <c r="V39" s="5"/>
      <c r="W39" s="68" t="s">
        <v>324</v>
      </c>
      <c r="X39" s="68" t="s">
        <v>313</v>
      </c>
      <c r="Y39" s="68" t="s">
        <v>328</v>
      </c>
      <c r="Z39" s="41" t="s">
        <v>62</v>
      </c>
    </row>
    <row r="40" spans="1:26" ht="23" x14ac:dyDescent="0.75">
      <c r="A40" s="107">
        <v>5</v>
      </c>
      <c r="B40" s="1"/>
      <c r="C40" s="63">
        <v>38</v>
      </c>
      <c r="D40" s="70" t="s">
        <v>388</v>
      </c>
      <c r="E40" s="71" t="s">
        <v>391</v>
      </c>
      <c r="F40" s="19" t="s">
        <v>92</v>
      </c>
      <c r="G40" s="3"/>
      <c r="H40" s="5" t="s">
        <v>18</v>
      </c>
      <c r="I40" s="4">
        <v>1</v>
      </c>
      <c r="J40" s="2">
        <v>0.1</v>
      </c>
      <c r="K40" s="3" t="s">
        <v>19</v>
      </c>
      <c r="L40" s="79">
        <v>0.1</v>
      </c>
      <c r="M40" s="3"/>
      <c r="N40" s="80">
        <v>0.05</v>
      </c>
      <c r="O40" s="3"/>
      <c r="P40" s="3"/>
      <c r="Q40" s="3" t="s">
        <v>20</v>
      </c>
      <c r="R40" s="3">
        <v>50</v>
      </c>
      <c r="S40" s="3">
        <v>50</v>
      </c>
      <c r="T40" s="3">
        <f t="shared" si="0"/>
        <v>75</v>
      </c>
      <c r="U40" s="3"/>
      <c r="V40" s="5"/>
      <c r="W40" s="68" t="s">
        <v>322</v>
      </c>
      <c r="X40" s="68" t="s">
        <v>313</v>
      </c>
      <c r="Y40" s="68" t="s">
        <v>323</v>
      </c>
      <c r="Z40" s="41" t="s">
        <v>93</v>
      </c>
    </row>
    <row r="41" spans="1:26" ht="21.75" customHeight="1" x14ac:dyDescent="0.75">
      <c r="A41" s="107"/>
      <c r="B41" s="1" t="s">
        <v>268</v>
      </c>
      <c r="C41" s="63">
        <v>39</v>
      </c>
      <c r="D41" s="70" t="s">
        <v>392</v>
      </c>
      <c r="E41" s="71" t="s">
        <v>390</v>
      </c>
      <c r="F41" s="19" t="s">
        <v>94</v>
      </c>
      <c r="G41" s="3"/>
      <c r="H41" s="5" t="s">
        <v>23</v>
      </c>
      <c r="I41" s="4">
        <v>1</v>
      </c>
      <c r="J41" s="2">
        <v>0.1</v>
      </c>
      <c r="K41" s="3" t="s">
        <v>19</v>
      </c>
      <c r="L41" s="79">
        <v>0.1</v>
      </c>
      <c r="M41" s="3"/>
      <c r="N41" s="80">
        <v>0.05</v>
      </c>
      <c r="O41" s="3"/>
      <c r="P41" s="3"/>
      <c r="Q41" s="3" t="s">
        <v>20</v>
      </c>
      <c r="R41" s="3">
        <v>50</v>
      </c>
      <c r="S41" s="3">
        <v>50</v>
      </c>
      <c r="T41" s="3">
        <f t="shared" si="0"/>
        <v>75</v>
      </c>
      <c r="U41" s="3"/>
      <c r="V41" s="5"/>
      <c r="W41" s="68" t="s">
        <v>319</v>
      </c>
      <c r="X41" s="68" t="s">
        <v>320</v>
      </c>
      <c r="Y41" s="68" t="s">
        <v>318</v>
      </c>
      <c r="Z41" s="41" t="s">
        <v>95</v>
      </c>
    </row>
    <row r="42" spans="1:26" ht="34.5" x14ac:dyDescent="0.75">
      <c r="A42" s="107"/>
      <c r="B42" s="1" t="s">
        <v>278</v>
      </c>
      <c r="C42" s="63">
        <v>40</v>
      </c>
      <c r="D42" s="108" t="s">
        <v>388</v>
      </c>
      <c r="E42" s="109" t="s">
        <v>391</v>
      </c>
      <c r="F42" s="19">
        <v>31020</v>
      </c>
      <c r="G42" s="3"/>
      <c r="H42" s="5" t="s">
        <v>18</v>
      </c>
      <c r="I42" s="4">
        <v>1</v>
      </c>
      <c r="J42" s="2">
        <v>0.1</v>
      </c>
      <c r="K42" s="3" t="s">
        <v>19</v>
      </c>
      <c r="L42" s="79">
        <v>0.1</v>
      </c>
      <c r="M42" s="3"/>
      <c r="N42" s="80">
        <v>0.05</v>
      </c>
      <c r="O42" s="3"/>
      <c r="P42" s="3"/>
      <c r="Q42" s="3" t="s">
        <v>20</v>
      </c>
      <c r="R42" s="3">
        <v>50</v>
      </c>
      <c r="S42" s="3" t="s">
        <v>89</v>
      </c>
      <c r="T42" s="3" t="s">
        <v>89</v>
      </c>
      <c r="U42" s="3"/>
      <c r="V42" s="5" t="s">
        <v>293</v>
      </c>
      <c r="W42" s="68" t="s">
        <v>319</v>
      </c>
      <c r="X42" s="68" t="s">
        <v>313</v>
      </c>
      <c r="Y42" s="68" t="s">
        <v>321</v>
      </c>
      <c r="Z42" s="41" t="s">
        <v>100</v>
      </c>
    </row>
    <row r="43" spans="1:26" ht="21.75" customHeight="1" x14ac:dyDescent="0.75">
      <c r="A43" s="107"/>
      <c r="B43" s="1" t="s">
        <v>275</v>
      </c>
      <c r="C43" s="63">
        <v>41</v>
      </c>
      <c r="D43" s="108"/>
      <c r="E43" s="109"/>
      <c r="F43" s="19" t="s">
        <v>101</v>
      </c>
      <c r="G43" s="3"/>
      <c r="H43" s="5" t="s">
        <v>18</v>
      </c>
      <c r="I43" s="4">
        <v>1</v>
      </c>
      <c r="J43" s="2">
        <v>0.1</v>
      </c>
      <c r="K43" s="3" t="s">
        <v>19</v>
      </c>
      <c r="L43" s="79">
        <v>0.1</v>
      </c>
      <c r="M43" s="3"/>
      <c r="N43" s="80">
        <v>0.05</v>
      </c>
      <c r="O43" s="3"/>
      <c r="P43" s="3"/>
      <c r="Q43" s="3" t="s">
        <v>20</v>
      </c>
      <c r="R43" s="3">
        <v>50</v>
      </c>
      <c r="S43" s="3">
        <v>50</v>
      </c>
      <c r="T43" s="3">
        <f t="shared" ref="T43:T52" si="1">S43*1.5</f>
        <v>75</v>
      </c>
      <c r="U43" s="3"/>
      <c r="V43" s="5"/>
      <c r="W43" s="68" t="s">
        <v>319</v>
      </c>
      <c r="X43" s="68" t="s">
        <v>313</v>
      </c>
      <c r="Y43" s="68" t="s">
        <v>323</v>
      </c>
      <c r="Z43" s="41" t="s">
        <v>102</v>
      </c>
    </row>
    <row r="44" spans="1:26" ht="21.75" customHeight="1" x14ac:dyDescent="0.75">
      <c r="A44" s="107"/>
      <c r="B44" s="1" t="s">
        <v>269</v>
      </c>
      <c r="C44" s="63">
        <v>42</v>
      </c>
      <c r="D44" s="70" t="s">
        <v>392</v>
      </c>
      <c r="E44" s="71" t="s">
        <v>390</v>
      </c>
      <c r="F44" s="19" t="s">
        <v>106</v>
      </c>
      <c r="G44" s="3"/>
      <c r="H44" s="5" t="s">
        <v>23</v>
      </c>
      <c r="I44" s="4">
        <v>1</v>
      </c>
      <c r="J44" s="2">
        <v>0.1</v>
      </c>
      <c r="K44" s="3" t="s">
        <v>19</v>
      </c>
      <c r="L44" s="79">
        <v>0.1</v>
      </c>
      <c r="M44" s="3"/>
      <c r="N44" s="80">
        <v>0.05</v>
      </c>
      <c r="O44" s="3"/>
      <c r="P44" s="3"/>
      <c r="Q44" s="3" t="s">
        <v>20</v>
      </c>
      <c r="R44" s="3">
        <v>50</v>
      </c>
      <c r="S44" s="3">
        <v>50</v>
      </c>
      <c r="T44" s="3">
        <f t="shared" si="1"/>
        <v>75</v>
      </c>
      <c r="U44" s="3"/>
      <c r="V44" s="5"/>
      <c r="W44" s="68" t="s">
        <v>319</v>
      </c>
      <c r="X44" s="68" t="s">
        <v>320</v>
      </c>
      <c r="Y44" s="68" t="s">
        <v>318</v>
      </c>
      <c r="Z44" s="41" t="s">
        <v>107</v>
      </c>
    </row>
    <row r="45" spans="1:26" ht="23" x14ac:dyDescent="0.75">
      <c r="A45" s="107"/>
      <c r="B45" s="1" t="s">
        <v>273</v>
      </c>
      <c r="C45" s="63">
        <v>43</v>
      </c>
      <c r="D45" s="108" t="s">
        <v>388</v>
      </c>
      <c r="E45" s="109" t="s">
        <v>391</v>
      </c>
      <c r="F45" s="19" t="s">
        <v>134</v>
      </c>
      <c r="G45" s="3" t="s">
        <v>306</v>
      </c>
      <c r="H45" s="5" t="s">
        <v>18</v>
      </c>
      <c r="I45" s="4">
        <v>1</v>
      </c>
      <c r="J45" s="2">
        <v>0.1</v>
      </c>
      <c r="K45" s="3" t="s">
        <v>19</v>
      </c>
      <c r="L45" s="79">
        <v>0.1</v>
      </c>
      <c r="M45" s="3"/>
      <c r="N45" s="80">
        <v>0.05</v>
      </c>
      <c r="O45" s="3"/>
      <c r="P45" s="3"/>
      <c r="Q45" s="3" t="s">
        <v>20</v>
      </c>
      <c r="R45" s="3">
        <v>50</v>
      </c>
      <c r="S45" s="3">
        <v>50</v>
      </c>
      <c r="T45" s="3">
        <f t="shared" si="1"/>
        <v>75</v>
      </c>
      <c r="U45" s="3"/>
      <c r="V45" s="5"/>
      <c r="W45" s="68" t="s">
        <v>357</v>
      </c>
      <c r="X45" s="68" t="s">
        <v>313</v>
      </c>
      <c r="Y45" s="68" t="s">
        <v>318</v>
      </c>
      <c r="Z45" s="41" t="s">
        <v>135</v>
      </c>
    </row>
    <row r="46" spans="1:26" ht="21.75" customHeight="1" x14ac:dyDescent="0.75">
      <c r="A46" s="107"/>
      <c r="B46" s="1" t="s">
        <v>276</v>
      </c>
      <c r="C46" s="63">
        <v>44</v>
      </c>
      <c r="D46" s="108"/>
      <c r="E46" s="109"/>
      <c r="F46" s="19" t="s">
        <v>223</v>
      </c>
      <c r="G46" s="3"/>
      <c r="H46" s="5" t="s">
        <v>27</v>
      </c>
      <c r="I46" s="4">
        <v>1</v>
      </c>
      <c r="J46" s="2">
        <v>0.1</v>
      </c>
      <c r="K46" s="3" t="s">
        <v>19</v>
      </c>
      <c r="L46" s="79">
        <v>0.1</v>
      </c>
      <c r="M46" s="3"/>
      <c r="N46" s="80">
        <v>0.05</v>
      </c>
      <c r="O46" s="3"/>
      <c r="P46" s="3"/>
      <c r="Q46" s="3" t="s">
        <v>20</v>
      </c>
      <c r="R46" s="3">
        <v>50</v>
      </c>
      <c r="S46" s="3">
        <v>50</v>
      </c>
      <c r="T46" s="3">
        <f t="shared" si="1"/>
        <v>75</v>
      </c>
      <c r="U46" s="3"/>
      <c r="V46" s="5"/>
      <c r="W46" s="68" t="s">
        <v>368</v>
      </c>
      <c r="X46" s="68" t="s">
        <v>313</v>
      </c>
      <c r="Y46" s="68" t="s">
        <v>346</v>
      </c>
      <c r="Z46" s="41" t="s">
        <v>301</v>
      </c>
    </row>
    <row r="47" spans="1:26" ht="21.75" customHeight="1" x14ac:dyDescent="0.75">
      <c r="A47" s="107"/>
      <c r="B47" s="1"/>
      <c r="C47" s="63">
        <v>45</v>
      </c>
      <c r="D47" s="108"/>
      <c r="E47" s="109"/>
      <c r="F47" s="19" t="s">
        <v>224</v>
      </c>
      <c r="G47" s="3"/>
      <c r="H47" s="5" t="s">
        <v>27</v>
      </c>
      <c r="I47" s="4">
        <v>1</v>
      </c>
      <c r="J47" s="2">
        <v>0.1</v>
      </c>
      <c r="K47" s="3" t="s">
        <v>19</v>
      </c>
      <c r="L47" s="79">
        <v>0.1</v>
      </c>
      <c r="M47" s="3"/>
      <c r="N47" s="80">
        <v>0.05</v>
      </c>
      <c r="O47" s="3"/>
      <c r="P47" s="3"/>
      <c r="Q47" s="3" t="s">
        <v>20</v>
      </c>
      <c r="R47" s="3">
        <v>50</v>
      </c>
      <c r="S47" s="3">
        <v>50</v>
      </c>
      <c r="T47" s="3">
        <f t="shared" si="1"/>
        <v>75</v>
      </c>
      <c r="U47" s="3"/>
      <c r="V47" s="5"/>
      <c r="W47" s="68" t="s">
        <v>368</v>
      </c>
      <c r="X47" s="68" t="s">
        <v>313</v>
      </c>
      <c r="Y47" s="68" t="s">
        <v>346</v>
      </c>
      <c r="Z47" s="41" t="s">
        <v>301</v>
      </c>
    </row>
    <row r="48" spans="1:26" ht="21.75" customHeight="1" x14ac:dyDescent="0.75">
      <c r="A48" s="107"/>
      <c r="B48" s="1"/>
      <c r="C48" s="63">
        <v>46</v>
      </c>
      <c r="D48" s="108"/>
      <c r="E48" s="109"/>
      <c r="F48" s="19" t="s">
        <v>225</v>
      </c>
      <c r="G48" s="3"/>
      <c r="H48" s="5" t="s">
        <v>27</v>
      </c>
      <c r="I48" s="4">
        <v>1</v>
      </c>
      <c r="J48" s="2">
        <v>0.1</v>
      </c>
      <c r="K48" s="3" t="s">
        <v>19</v>
      </c>
      <c r="L48" s="79">
        <v>0.1</v>
      </c>
      <c r="M48" s="3"/>
      <c r="N48" s="80">
        <v>0.05</v>
      </c>
      <c r="O48" s="3"/>
      <c r="P48" s="3"/>
      <c r="Q48" s="3" t="s">
        <v>20</v>
      </c>
      <c r="R48" s="3">
        <v>50</v>
      </c>
      <c r="S48" s="3">
        <v>50</v>
      </c>
      <c r="T48" s="3">
        <f t="shared" si="1"/>
        <v>75</v>
      </c>
      <c r="U48" s="3"/>
      <c r="V48" s="5"/>
      <c r="W48" s="68" t="s">
        <v>322</v>
      </c>
      <c r="X48" s="68" t="s">
        <v>313</v>
      </c>
      <c r="Y48" s="68" t="s">
        <v>318</v>
      </c>
      <c r="Z48" s="41" t="s">
        <v>302</v>
      </c>
    </row>
    <row r="49" spans="1:26" ht="23" x14ac:dyDescent="0.75">
      <c r="A49" s="107">
        <v>6</v>
      </c>
      <c r="B49" s="1"/>
      <c r="C49" s="63">
        <v>47</v>
      </c>
      <c r="D49" s="108" t="s">
        <v>392</v>
      </c>
      <c r="E49" s="109" t="s">
        <v>390</v>
      </c>
      <c r="F49" s="19" t="s">
        <v>96</v>
      </c>
      <c r="G49" s="3"/>
      <c r="H49" s="5" t="s">
        <v>23</v>
      </c>
      <c r="I49" s="4">
        <v>1</v>
      </c>
      <c r="J49" s="2">
        <v>1</v>
      </c>
      <c r="K49" s="3" t="s">
        <v>19</v>
      </c>
      <c r="L49" s="79">
        <v>1</v>
      </c>
      <c r="M49" s="3"/>
      <c r="N49" s="80">
        <v>0.1</v>
      </c>
      <c r="O49" s="3"/>
      <c r="P49" s="3"/>
      <c r="Q49" s="3" t="s">
        <v>20</v>
      </c>
      <c r="R49" s="3">
        <v>50</v>
      </c>
      <c r="S49" s="3">
        <v>50</v>
      </c>
      <c r="T49" s="3">
        <f t="shared" si="1"/>
        <v>75</v>
      </c>
      <c r="U49" s="3"/>
      <c r="V49" s="5"/>
      <c r="W49" s="68" t="s">
        <v>319</v>
      </c>
      <c r="X49" s="68" t="s">
        <v>320</v>
      </c>
      <c r="Y49" s="68" t="s">
        <v>318</v>
      </c>
      <c r="Z49" s="41" t="s">
        <v>97</v>
      </c>
    </row>
    <row r="50" spans="1:26" ht="23" x14ac:dyDescent="0.75">
      <c r="A50" s="107"/>
      <c r="B50" s="1"/>
      <c r="C50" s="63">
        <v>48</v>
      </c>
      <c r="D50" s="108"/>
      <c r="E50" s="109"/>
      <c r="F50" s="19" t="s">
        <v>105</v>
      </c>
      <c r="G50" s="3"/>
      <c r="H50" s="5" t="s">
        <v>23</v>
      </c>
      <c r="I50" s="4">
        <v>1</v>
      </c>
      <c r="J50" s="2">
        <v>1</v>
      </c>
      <c r="K50" s="3" t="s">
        <v>19</v>
      </c>
      <c r="L50" s="79">
        <v>1</v>
      </c>
      <c r="M50" s="3"/>
      <c r="N50" s="80">
        <v>0.1</v>
      </c>
      <c r="O50" s="3"/>
      <c r="P50" s="3"/>
      <c r="Q50" s="3" t="s">
        <v>20</v>
      </c>
      <c r="R50" s="3">
        <v>50</v>
      </c>
      <c r="S50" s="3">
        <v>50</v>
      </c>
      <c r="T50" s="3">
        <f t="shared" si="1"/>
        <v>75</v>
      </c>
      <c r="U50" s="3"/>
      <c r="V50" s="5"/>
      <c r="W50" s="68" t="s">
        <v>319</v>
      </c>
      <c r="X50" s="68" t="s">
        <v>320</v>
      </c>
      <c r="Y50" s="68" t="s">
        <v>346</v>
      </c>
      <c r="Z50" s="41" t="s">
        <v>104</v>
      </c>
    </row>
    <row r="51" spans="1:26" ht="34.5" x14ac:dyDescent="0.75">
      <c r="A51" s="107"/>
      <c r="B51" s="1"/>
      <c r="C51" s="63">
        <v>49</v>
      </c>
      <c r="D51" s="108"/>
      <c r="E51" s="109"/>
      <c r="F51" s="19" t="s">
        <v>108</v>
      </c>
      <c r="G51" s="3"/>
      <c r="H51" s="5" t="s">
        <v>23</v>
      </c>
      <c r="I51" s="4">
        <v>1</v>
      </c>
      <c r="J51" s="2">
        <v>1</v>
      </c>
      <c r="K51" s="3" t="s">
        <v>19</v>
      </c>
      <c r="L51" s="79">
        <v>1</v>
      </c>
      <c r="M51" s="3"/>
      <c r="N51" s="80">
        <v>0.1</v>
      </c>
      <c r="O51" s="3"/>
      <c r="P51" s="3"/>
      <c r="Q51" s="3" t="s">
        <v>20</v>
      </c>
      <c r="R51" s="3">
        <v>50</v>
      </c>
      <c r="S51" s="3">
        <v>50</v>
      </c>
      <c r="T51" s="3">
        <f t="shared" si="1"/>
        <v>75</v>
      </c>
      <c r="U51" s="3"/>
      <c r="V51" s="5"/>
      <c r="W51" s="68" t="s">
        <v>319</v>
      </c>
      <c r="X51" s="68" t="s">
        <v>320</v>
      </c>
      <c r="Y51" s="68" t="s">
        <v>318</v>
      </c>
      <c r="Z51" s="41" t="s">
        <v>109</v>
      </c>
    </row>
    <row r="52" spans="1:26" ht="23" x14ac:dyDescent="0.75">
      <c r="A52" s="107"/>
      <c r="B52" s="1"/>
      <c r="C52" s="63">
        <v>50</v>
      </c>
      <c r="D52" s="70" t="s">
        <v>388</v>
      </c>
      <c r="E52" s="71" t="s">
        <v>391</v>
      </c>
      <c r="F52" s="19" t="s">
        <v>110</v>
      </c>
      <c r="G52" s="3"/>
      <c r="H52" s="5" t="s">
        <v>27</v>
      </c>
      <c r="I52" s="4">
        <v>1</v>
      </c>
      <c r="J52" s="2">
        <v>1</v>
      </c>
      <c r="K52" s="3" t="s">
        <v>19</v>
      </c>
      <c r="L52" s="79">
        <v>1</v>
      </c>
      <c r="M52" s="3"/>
      <c r="N52" s="80">
        <v>0.1</v>
      </c>
      <c r="O52" s="3"/>
      <c r="P52" s="3"/>
      <c r="Q52" s="3" t="s">
        <v>20</v>
      </c>
      <c r="R52" s="3">
        <v>50</v>
      </c>
      <c r="S52" s="3">
        <v>50</v>
      </c>
      <c r="T52" s="3">
        <f t="shared" si="1"/>
        <v>75</v>
      </c>
      <c r="U52" s="3"/>
      <c r="V52" s="5"/>
      <c r="W52" s="68" t="s">
        <v>322</v>
      </c>
      <c r="X52" s="68" t="s">
        <v>313</v>
      </c>
      <c r="Y52" s="68" t="s">
        <v>318</v>
      </c>
      <c r="Z52" s="41" t="s">
        <v>111</v>
      </c>
    </row>
    <row r="53" spans="1:26" ht="46" x14ac:dyDescent="0.75">
      <c r="A53" s="107"/>
      <c r="B53" s="1"/>
      <c r="C53" s="63">
        <v>51</v>
      </c>
      <c r="D53" s="108" t="s">
        <v>392</v>
      </c>
      <c r="E53" s="109" t="s">
        <v>390</v>
      </c>
      <c r="F53" s="19" t="s">
        <v>125</v>
      </c>
      <c r="G53" s="3"/>
      <c r="H53" s="5" t="s">
        <v>23</v>
      </c>
      <c r="I53" s="4">
        <v>1</v>
      </c>
      <c r="J53" s="2">
        <v>1</v>
      </c>
      <c r="K53" s="3" t="s">
        <v>19</v>
      </c>
      <c r="L53" s="79">
        <v>1</v>
      </c>
      <c r="M53" s="3"/>
      <c r="N53" s="80">
        <v>0.1</v>
      </c>
      <c r="O53" s="3"/>
      <c r="P53" s="3"/>
      <c r="Q53" s="3" t="s">
        <v>20</v>
      </c>
      <c r="R53" s="3">
        <v>50</v>
      </c>
      <c r="S53" s="3" t="s">
        <v>89</v>
      </c>
      <c r="T53" s="3" t="s">
        <v>89</v>
      </c>
      <c r="U53" s="3"/>
      <c r="V53" s="5" t="s">
        <v>294</v>
      </c>
      <c r="W53" s="68" t="s">
        <v>319</v>
      </c>
      <c r="X53" s="68" t="s">
        <v>320</v>
      </c>
      <c r="Y53" s="68" t="s">
        <v>321</v>
      </c>
      <c r="Z53" s="41" t="s">
        <v>126</v>
      </c>
    </row>
    <row r="54" spans="1:26" ht="34.5" x14ac:dyDescent="0.75">
      <c r="A54" s="107"/>
      <c r="B54" s="1"/>
      <c r="C54" s="63">
        <v>52</v>
      </c>
      <c r="D54" s="108"/>
      <c r="E54" s="109"/>
      <c r="F54" s="19" t="s">
        <v>127</v>
      </c>
      <c r="G54" s="3"/>
      <c r="H54" s="5" t="s">
        <v>23</v>
      </c>
      <c r="I54" s="4">
        <v>1</v>
      </c>
      <c r="J54" s="2">
        <v>1</v>
      </c>
      <c r="K54" s="3" t="s">
        <v>19</v>
      </c>
      <c r="L54" s="79">
        <v>1</v>
      </c>
      <c r="M54" s="3"/>
      <c r="N54" s="80">
        <v>0.1</v>
      </c>
      <c r="O54" s="3"/>
      <c r="P54" s="3"/>
      <c r="Q54" s="3" t="s">
        <v>20</v>
      </c>
      <c r="R54" s="3">
        <v>50</v>
      </c>
      <c r="S54" s="3" t="s">
        <v>89</v>
      </c>
      <c r="T54" s="3" t="s">
        <v>89</v>
      </c>
      <c r="U54" s="3"/>
      <c r="V54" s="5" t="s">
        <v>295</v>
      </c>
      <c r="W54" s="68" t="s">
        <v>319</v>
      </c>
      <c r="X54" s="68" t="s">
        <v>320</v>
      </c>
      <c r="Y54" s="68" t="s">
        <v>321</v>
      </c>
      <c r="Z54" s="41" t="s">
        <v>128</v>
      </c>
    </row>
    <row r="55" spans="1:26" ht="34.5" x14ac:dyDescent="0.75">
      <c r="A55" s="107"/>
      <c r="B55" s="1"/>
      <c r="C55" s="63">
        <v>53</v>
      </c>
      <c r="D55" s="108"/>
      <c r="E55" s="109"/>
      <c r="F55" s="19" t="s">
        <v>228</v>
      </c>
      <c r="G55" s="3"/>
      <c r="H55" s="5" t="s">
        <v>23</v>
      </c>
      <c r="I55" s="4">
        <v>1</v>
      </c>
      <c r="J55" s="2">
        <v>1</v>
      </c>
      <c r="K55" s="3" t="s">
        <v>19</v>
      </c>
      <c r="L55" s="79">
        <v>1</v>
      </c>
      <c r="M55" s="3"/>
      <c r="N55" s="80">
        <v>0.1</v>
      </c>
      <c r="O55" s="3"/>
      <c r="P55" s="3"/>
      <c r="Q55" s="3" t="s">
        <v>20</v>
      </c>
      <c r="R55" s="3">
        <v>50</v>
      </c>
      <c r="S55" s="3">
        <v>44</v>
      </c>
      <c r="T55" s="3">
        <f>S55*1.5</f>
        <v>66</v>
      </c>
      <c r="U55" s="3"/>
      <c r="V55" s="5"/>
      <c r="W55" s="68" t="s">
        <v>348</v>
      </c>
      <c r="X55" s="68" t="s">
        <v>313</v>
      </c>
      <c r="Y55" s="68" t="s">
        <v>321</v>
      </c>
      <c r="Z55" s="41" t="s">
        <v>363</v>
      </c>
    </row>
    <row r="56" spans="1:26" ht="23" x14ac:dyDescent="0.75">
      <c r="A56" s="107">
        <v>7</v>
      </c>
      <c r="B56" s="1"/>
      <c r="C56" s="63">
        <v>54</v>
      </c>
      <c r="D56" s="108" t="s">
        <v>388</v>
      </c>
      <c r="E56" s="109" t="s">
        <v>391</v>
      </c>
      <c r="F56" s="19" t="s">
        <v>103</v>
      </c>
      <c r="G56" s="3"/>
      <c r="H56" s="5" t="s">
        <v>27</v>
      </c>
      <c r="I56" s="4">
        <v>1</v>
      </c>
      <c r="J56" s="2">
        <v>1</v>
      </c>
      <c r="K56" s="3" t="s">
        <v>19</v>
      </c>
      <c r="L56" s="79">
        <v>1</v>
      </c>
      <c r="M56" s="3"/>
      <c r="N56" s="80">
        <v>0.05</v>
      </c>
      <c r="O56" s="3"/>
      <c r="P56" s="3"/>
      <c r="Q56" s="3" t="s">
        <v>20</v>
      </c>
      <c r="R56" s="3">
        <v>50</v>
      </c>
      <c r="S56" s="3">
        <v>50</v>
      </c>
      <c r="T56" s="3">
        <f>S56*1.5</f>
        <v>75</v>
      </c>
      <c r="U56" s="3"/>
      <c r="V56" s="5"/>
      <c r="W56" s="68" t="s">
        <v>322</v>
      </c>
      <c r="X56" s="68" t="s">
        <v>313</v>
      </c>
      <c r="Y56" s="68" t="s">
        <v>318</v>
      </c>
      <c r="Z56" s="41" t="s">
        <v>104</v>
      </c>
    </row>
    <row r="57" spans="1:26" ht="21.75" customHeight="1" x14ac:dyDescent="0.75">
      <c r="A57" s="107"/>
      <c r="B57" s="1"/>
      <c r="C57" s="63">
        <v>55</v>
      </c>
      <c r="D57" s="108"/>
      <c r="E57" s="109"/>
      <c r="F57" s="19" t="s">
        <v>112</v>
      </c>
      <c r="G57" s="3"/>
      <c r="H57" s="5" t="s">
        <v>27</v>
      </c>
      <c r="I57" s="4">
        <v>1</v>
      </c>
      <c r="J57" s="2">
        <v>1</v>
      </c>
      <c r="K57" s="3" t="s">
        <v>19</v>
      </c>
      <c r="L57" s="79">
        <v>1</v>
      </c>
      <c r="M57" s="3"/>
      <c r="N57" s="80">
        <v>0.05</v>
      </c>
      <c r="O57" s="3"/>
      <c r="P57" s="3"/>
      <c r="Q57" s="3" t="s">
        <v>20</v>
      </c>
      <c r="R57" s="3">
        <v>50</v>
      </c>
      <c r="S57" s="3">
        <v>50</v>
      </c>
      <c r="T57" s="3">
        <f>S57*1.5</f>
        <v>75</v>
      </c>
      <c r="U57" s="3"/>
      <c r="V57" s="5"/>
      <c r="W57" s="68" t="s">
        <v>322</v>
      </c>
      <c r="X57" s="68" t="s">
        <v>313</v>
      </c>
      <c r="Y57" s="68" t="s">
        <v>318</v>
      </c>
      <c r="Z57" s="41" t="s">
        <v>113</v>
      </c>
    </row>
    <row r="58" spans="1:26" ht="23" x14ac:dyDescent="0.75">
      <c r="A58" s="107"/>
      <c r="B58" s="1"/>
      <c r="C58" s="63">
        <v>56</v>
      </c>
      <c r="D58" s="108" t="s">
        <v>392</v>
      </c>
      <c r="E58" s="109" t="s">
        <v>390</v>
      </c>
      <c r="F58" s="19" t="s">
        <v>114</v>
      </c>
      <c r="G58" s="3"/>
      <c r="H58" s="5" t="s">
        <v>23</v>
      </c>
      <c r="I58" s="4">
        <v>1</v>
      </c>
      <c r="J58" s="2">
        <v>1</v>
      </c>
      <c r="K58" s="3" t="s">
        <v>19</v>
      </c>
      <c r="L58" s="79">
        <v>1</v>
      </c>
      <c r="M58" s="3"/>
      <c r="N58" s="80">
        <v>0.05</v>
      </c>
      <c r="O58" s="3"/>
      <c r="P58" s="3"/>
      <c r="Q58" s="3" t="s">
        <v>20</v>
      </c>
      <c r="R58" s="3">
        <v>50</v>
      </c>
      <c r="S58" s="3">
        <v>50</v>
      </c>
      <c r="T58" s="3">
        <f>S58*1.5</f>
        <v>75</v>
      </c>
      <c r="U58" s="3"/>
      <c r="V58" s="5"/>
      <c r="W58" s="68" t="s">
        <v>348</v>
      </c>
      <c r="X58" s="68" t="s">
        <v>313</v>
      </c>
      <c r="Y58" s="68" t="s">
        <v>318</v>
      </c>
      <c r="Z58" s="41" t="s">
        <v>115</v>
      </c>
    </row>
    <row r="59" spans="1:26" ht="21.75" customHeight="1" x14ac:dyDescent="0.75">
      <c r="A59" s="107"/>
      <c r="B59" s="1"/>
      <c r="C59" s="63">
        <v>57</v>
      </c>
      <c r="D59" s="108"/>
      <c r="E59" s="109"/>
      <c r="F59" s="19" t="s">
        <v>116</v>
      </c>
      <c r="G59" s="3"/>
      <c r="H59" s="5" t="s">
        <v>23</v>
      </c>
      <c r="I59" s="4">
        <v>1</v>
      </c>
      <c r="J59" s="2">
        <v>1</v>
      </c>
      <c r="K59" s="3" t="s">
        <v>19</v>
      </c>
      <c r="L59" s="79">
        <v>1</v>
      </c>
      <c r="M59" s="3"/>
      <c r="N59" s="80">
        <v>0.05</v>
      </c>
      <c r="O59" s="3"/>
      <c r="P59" s="3"/>
      <c r="Q59" s="3" t="s">
        <v>20</v>
      </c>
      <c r="R59" s="3">
        <v>50</v>
      </c>
      <c r="S59" s="3">
        <v>50</v>
      </c>
      <c r="T59" s="3">
        <f>S59*1.5</f>
        <v>75</v>
      </c>
      <c r="U59" s="3"/>
      <c r="V59" s="5"/>
      <c r="W59" s="68" t="s">
        <v>322</v>
      </c>
      <c r="X59" s="68" t="s">
        <v>313</v>
      </c>
      <c r="Y59" s="68" t="s">
        <v>318</v>
      </c>
      <c r="Z59" s="41" t="s">
        <v>115</v>
      </c>
    </row>
    <row r="60" spans="1:26" ht="34.5" x14ac:dyDescent="0.75">
      <c r="A60" s="107"/>
      <c r="B60" s="1"/>
      <c r="C60" s="63">
        <v>58</v>
      </c>
      <c r="D60" s="108" t="s">
        <v>389</v>
      </c>
      <c r="E60" s="109"/>
      <c r="F60" s="19" t="s">
        <v>129</v>
      </c>
      <c r="G60" s="3"/>
      <c r="H60" s="5" t="s">
        <v>57</v>
      </c>
      <c r="I60" s="4">
        <v>1</v>
      </c>
      <c r="J60" s="2">
        <v>1</v>
      </c>
      <c r="K60" s="3" t="s">
        <v>19</v>
      </c>
      <c r="L60" s="79">
        <v>1</v>
      </c>
      <c r="M60" s="3"/>
      <c r="N60" s="80">
        <v>0.05</v>
      </c>
      <c r="O60" s="3"/>
      <c r="P60" s="3"/>
      <c r="Q60" s="3" t="s">
        <v>20</v>
      </c>
      <c r="R60" s="3">
        <v>50</v>
      </c>
      <c r="S60" s="3" t="s">
        <v>89</v>
      </c>
      <c r="T60" s="3" t="s">
        <v>89</v>
      </c>
      <c r="U60" s="3"/>
      <c r="V60" s="5" t="s">
        <v>295</v>
      </c>
      <c r="W60" s="68" t="s">
        <v>324</v>
      </c>
      <c r="X60" s="68" t="s">
        <v>325</v>
      </c>
      <c r="Y60" s="68" t="s">
        <v>349</v>
      </c>
      <c r="Z60" s="41" t="s">
        <v>130</v>
      </c>
    </row>
    <row r="61" spans="1:26" ht="23" x14ac:dyDescent="0.75">
      <c r="A61" s="107"/>
      <c r="B61" s="1"/>
      <c r="C61" s="63">
        <v>59</v>
      </c>
      <c r="D61" s="108"/>
      <c r="E61" s="109"/>
      <c r="F61" s="19" t="s">
        <v>131</v>
      </c>
      <c r="G61" s="3"/>
      <c r="H61" s="5" t="s">
        <v>132</v>
      </c>
      <c r="I61" s="4">
        <v>1</v>
      </c>
      <c r="J61" s="2">
        <v>1</v>
      </c>
      <c r="K61" s="3" t="s">
        <v>19</v>
      </c>
      <c r="L61" s="79">
        <v>1</v>
      </c>
      <c r="M61" s="3"/>
      <c r="N61" s="80">
        <v>0.05</v>
      </c>
      <c r="O61" s="3"/>
      <c r="P61" s="3"/>
      <c r="Q61" s="3" t="s">
        <v>20</v>
      </c>
      <c r="R61" s="3">
        <v>50</v>
      </c>
      <c r="S61" s="3">
        <v>47.3</v>
      </c>
      <c r="T61" s="3">
        <f>S61*1.5</f>
        <v>70.949999999999989</v>
      </c>
      <c r="U61" s="3"/>
      <c r="V61" s="5"/>
      <c r="W61" s="68" t="s">
        <v>324</v>
      </c>
      <c r="X61" s="68" t="s">
        <v>350</v>
      </c>
      <c r="Y61" s="68" t="s">
        <v>351</v>
      </c>
      <c r="Z61" s="41" t="s">
        <v>133</v>
      </c>
    </row>
    <row r="62" spans="1:26" ht="21.75" customHeight="1" x14ac:dyDescent="0.75">
      <c r="A62" s="121">
        <v>8</v>
      </c>
      <c r="B62" s="1"/>
      <c r="C62" s="63">
        <v>60</v>
      </c>
      <c r="D62" s="112" t="s">
        <v>390</v>
      </c>
      <c r="E62" s="113"/>
      <c r="F62" s="19" t="s">
        <v>98</v>
      </c>
      <c r="G62" s="3"/>
      <c r="H62" s="5" t="s">
        <v>27</v>
      </c>
      <c r="I62" s="4">
        <v>1</v>
      </c>
      <c r="J62" s="2">
        <v>0.1</v>
      </c>
      <c r="K62" s="3" t="s">
        <v>19</v>
      </c>
      <c r="L62" s="79">
        <v>1</v>
      </c>
      <c r="M62" s="3"/>
      <c r="N62" s="79">
        <v>1</v>
      </c>
      <c r="O62" s="3"/>
      <c r="P62" s="3"/>
      <c r="Q62" s="3" t="s">
        <v>20</v>
      </c>
      <c r="R62" s="3">
        <v>50</v>
      </c>
      <c r="S62" s="3">
        <v>50</v>
      </c>
      <c r="T62" s="3">
        <f>S62*1.5</f>
        <v>75</v>
      </c>
      <c r="U62" s="3" t="s">
        <v>44</v>
      </c>
      <c r="V62" s="5"/>
      <c r="W62" s="68" t="s">
        <v>322</v>
      </c>
      <c r="X62" s="68" t="s">
        <v>320</v>
      </c>
      <c r="Y62" s="68" t="s">
        <v>318</v>
      </c>
      <c r="Z62" s="41" t="s">
        <v>99</v>
      </c>
    </row>
    <row r="63" spans="1:26" ht="34.5" x14ac:dyDescent="0.75">
      <c r="A63" s="121"/>
      <c r="B63" s="1" t="s">
        <v>270</v>
      </c>
      <c r="C63" s="63">
        <v>61</v>
      </c>
      <c r="D63" s="114"/>
      <c r="E63" s="115"/>
      <c r="F63" s="19" t="s">
        <v>117</v>
      </c>
      <c r="G63" s="3"/>
      <c r="H63" s="5" t="s">
        <v>23</v>
      </c>
      <c r="I63" s="4">
        <v>1</v>
      </c>
      <c r="J63" s="2">
        <v>1</v>
      </c>
      <c r="K63" s="3" t="s">
        <v>19</v>
      </c>
      <c r="L63" s="79">
        <v>1</v>
      </c>
      <c r="M63" s="3"/>
      <c r="N63" s="79">
        <v>1</v>
      </c>
      <c r="O63" s="3"/>
      <c r="P63" s="3"/>
      <c r="Q63" s="3" t="s">
        <v>20</v>
      </c>
      <c r="R63" s="3">
        <v>50</v>
      </c>
      <c r="S63" s="3" t="s">
        <v>89</v>
      </c>
      <c r="T63" s="3" t="s">
        <v>89</v>
      </c>
      <c r="U63" s="3" t="s">
        <v>44</v>
      </c>
      <c r="V63" s="5" t="s">
        <v>295</v>
      </c>
      <c r="W63" s="68" t="s">
        <v>319</v>
      </c>
      <c r="X63" s="68" t="s">
        <v>320</v>
      </c>
      <c r="Y63" s="68" t="s">
        <v>321</v>
      </c>
      <c r="Z63" s="41" t="s">
        <v>118</v>
      </c>
    </row>
    <row r="64" spans="1:26" ht="34.5" x14ac:dyDescent="0.75">
      <c r="A64" s="121"/>
      <c r="B64" s="1" t="s">
        <v>274</v>
      </c>
      <c r="C64" s="63">
        <v>62</v>
      </c>
      <c r="D64" s="114"/>
      <c r="E64" s="115"/>
      <c r="F64" s="19" t="s">
        <v>119</v>
      </c>
      <c r="G64" s="3"/>
      <c r="H64" s="5" t="s">
        <v>23</v>
      </c>
      <c r="I64" s="4">
        <v>1</v>
      </c>
      <c r="J64" s="2">
        <v>0.1</v>
      </c>
      <c r="K64" s="3" t="s">
        <v>19</v>
      </c>
      <c r="L64" s="79">
        <v>1</v>
      </c>
      <c r="M64" s="3"/>
      <c r="N64" s="79">
        <v>1</v>
      </c>
      <c r="O64" s="3"/>
      <c r="P64" s="3"/>
      <c r="Q64" s="3" t="s">
        <v>20</v>
      </c>
      <c r="R64" s="3">
        <v>50</v>
      </c>
      <c r="S64" s="3" t="s">
        <v>89</v>
      </c>
      <c r="T64" s="3" t="s">
        <v>89</v>
      </c>
      <c r="U64" s="3" t="s">
        <v>44</v>
      </c>
      <c r="V64" s="5" t="s">
        <v>295</v>
      </c>
      <c r="W64" s="68" t="s">
        <v>319</v>
      </c>
      <c r="X64" s="68" t="s">
        <v>320</v>
      </c>
      <c r="Y64" s="68" t="s">
        <v>321</v>
      </c>
      <c r="Z64" s="41" t="s">
        <v>120</v>
      </c>
    </row>
    <row r="65" spans="1:26" ht="34.5" x14ac:dyDescent="0.75">
      <c r="A65" s="121"/>
      <c r="B65" s="1"/>
      <c r="C65" s="63">
        <v>63</v>
      </c>
      <c r="D65" s="114"/>
      <c r="E65" s="115"/>
      <c r="F65" s="19" t="s">
        <v>121</v>
      </c>
      <c r="G65" s="3"/>
      <c r="H65" s="5" t="s">
        <v>23</v>
      </c>
      <c r="I65" s="4">
        <v>1</v>
      </c>
      <c r="J65" s="2">
        <v>1</v>
      </c>
      <c r="K65" s="3" t="s">
        <v>19</v>
      </c>
      <c r="L65" s="79">
        <v>1</v>
      </c>
      <c r="M65" s="3"/>
      <c r="N65" s="79">
        <v>1</v>
      </c>
      <c r="O65" s="3"/>
      <c r="P65" s="3"/>
      <c r="Q65" s="3" t="s">
        <v>20</v>
      </c>
      <c r="R65" s="3">
        <v>50</v>
      </c>
      <c r="S65" s="3" t="s">
        <v>89</v>
      </c>
      <c r="T65" s="3" t="s">
        <v>89</v>
      </c>
      <c r="U65" s="3" t="s">
        <v>44</v>
      </c>
      <c r="V65" s="5" t="s">
        <v>295</v>
      </c>
      <c r="W65" s="68" t="s">
        <v>319</v>
      </c>
      <c r="X65" s="68" t="s">
        <v>320</v>
      </c>
      <c r="Y65" s="68" t="s">
        <v>321</v>
      </c>
      <c r="Z65" s="41" t="s">
        <v>122</v>
      </c>
    </row>
    <row r="66" spans="1:26" ht="34.5" x14ac:dyDescent="0.75">
      <c r="A66" s="121"/>
      <c r="B66" s="1"/>
      <c r="C66" s="63">
        <v>64</v>
      </c>
      <c r="D66" s="114"/>
      <c r="E66" s="115"/>
      <c r="F66" s="19" t="s">
        <v>123</v>
      </c>
      <c r="G66" s="3"/>
      <c r="H66" s="5" t="s">
        <v>23</v>
      </c>
      <c r="I66" s="4">
        <v>1</v>
      </c>
      <c r="J66" s="2">
        <v>0.1</v>
      </c>
      <c r="K66" s="3" t="s">
        <v>19</v>
      </c>
      <c r="L66" s="79">
        <v>1</v>
      </c>
      <c r="M66" s="3"/>
      <c r="N66" s="79">
        <v>1</v>
      </c>
      <c r="O66" s="3"/>
      <c r="P66" s="3"/>
      <c r="Q66" s="3" t="s">
        <v>20</v>
      </c>
      <c r="R66" s="3">
        <v>50</v>
      </c>
      <c r="S66" s="3" t="s">
        <v>89</v>
      </c>
      <c r="T66" s="3" t="s">
        <v>89</v>
      </c>
      <c r="U66" s="3" t="s">
        <v>44</v>
      </c>
      <c r="V66" s="5" t="s">
        <v>295</v>
      </c>
      <c r="W66" s="68" t="s">
        <v>319</v>
      </c>
      <c r="X66" s="68" t="s">
        <v>320</v>
      </c>
      <c r="Y66" s="68" t="s">
        <v>321</v>
      </c>
      <c r="Z66" s="41" t="s">
        <v>124</v>
      </c>
    </row>
    <row r="67" spans="1:26" ht="23" x14ac:dyDescent="0.75">
      <c r="A67" s="121"/>
      <c r="B67" s="1"/>
      <c r="C67" s="63">
        <v>65</v>
      </c>
      <c r="D67" s="136" t="s">
        <v>391</v>
      </c>
      <c r="E67" s="137"/>
      <c r="F67" s="19" t="s">
        <v>136</v>
      </c>
      <c r="G67" s="3"/>
      <c r="H67" s="5" t="s">
        <v>18</v>
      </c>
      <c r="I67" s="4">
        <v>1</v>
      </c>
      <c r="J67" s="2">
        <v>0.1</v>
      </c>
      <c r="K67" s="3" t="s">
        <v>19</v>
      </c>
      <c r="L67" s="79">
        <v>1</v>
      </c>
      <c r="M67" s="3"/>
      <c r="N67" s="79">
        <v>1</v>
      </c>
      <c r="O67" s="3"/>
      <c r="P67" s="3"/>
      <c r="Q67" s="3" t="s">
        <v>20</v>
      </c>
      <c r="R67" s="3">
        <v>50</v>
      </c>
      <c r="S67" s="3" t="s">
        <v>89</v>
      </c>
      <c r="T67" s="3" t="s">
        <v>89</v>
      </c>
      <c r="U67" s="3" t="s">
        <v>20</v>
      </c>
      <c r="V67" s="5" t="s">
        <v>137</v>
      </c>
      <c r="W67" s="68" t="s">
        <v>324</v>
      </c>
      <c r="X67" s="68" t="s">
        <v>313</v>
      </c>
      <c r="Y67" s="68" t="s">
        <v>352</v>
      </c>
      <c r="Z67" s="41" t="s">
        <v>138</v>
      </c>
    </row>
    <row r="68" spans="1:26" ht="12.75" customHeight="1" x14ac:dyDescent="0.75">
      <c r="A68" s="113">
        <v>9</v>
      </c>
      <c r="B68" s="124" t="s">
        <v>290</v>
      </c>
      <c r="C68" s="63">
        <v>66</v>
      </c>
      <c r="D68" s="108" t="s">
        <v>388</v>
      </c>
      <c r="E68" s="109" t="s">
        <v>391</v>
      </c>
      <c r="F68" s="19" t="s">
        <v>163</v>
      </c>
      <c r="G68" s="3"/>
      <c r="H68" s="5" t="s">
        <v>18</v>
      </c>
      <c r="I68" s="4">
        <v>1</v>
      </c>
      <c r="J68" s="2">
        <v>1</v>
      </c>
      <c r="K68" s="3" t="s">
        <v>19</v>
      </c>
      <c r="L68" s="2">
        <v>0.1</v>
      </c>
      <c r="M68" s="3"/>
      <c r="N68" s="2">
        <v>0.1</v>
      </c>
      <c r="O68" s="2"/>
      <c r="P68" s="2"/>
      <c r="Q68" s="3" t="s">
        <v>20</v>
      </c>
      <c r="R68" s="3">
        <v>50</v>
      </c>
      <c r="S68" s="3">
        <v>100</v>
      </c>
      <c r="T68" s="3">
        <f t="shared" ref="T68:T84" si="2">S68*1.5</f>
        <v>150</v>
      </c>
      <c r="U68" s="3"/>
      <c r="V68" s="5"/>
      <c r="W68" s="68" t="s">
        <v>322</v>
      </c>
      <c r="X68" s="68" t="s">
        <v>313</v>
      </c>
      <c r="Y68" s="68" t="s">
        <v>318</v>
      </c>
      <c r="Z68" s="41" t="s">
        <v>54</v>
      </c>
    </row>
    <row r="69" spans="1:26" ht="23" x14ac:dyDescent="0.75">
      <c r="A69" s="115"/>
      <c r="B69" s="125"/>
      <c r="C69" s="63">
        <v>67</v>
      </c>
      <c r="D69" s="108"/>
      <c r="E69" s="109"/>
      <c r="F69" s="19" t="s">
        <v>173</v>
      </c>
      <c r="G69" s="3" t="s">
        <v>307</v>
      </c>
      <c r="H69" s="5" t="s">
        <v>18</v>
      </c>
      <c r="I69" s="4">
        <v>1</v>
      </c>
      <c r="J69" s="2">
        <v>1</v>
      </c>
      <c r="K69" s="3" t="s">
        <v>19</v>
      </c>
      <c r="L69" s="2">
        <v>0.1</v>
      </c>
      <c r="M69" s="3"/>
      <c r="N69" s="2">
        <v>0.1</v>
      </c>
      <c r="O69" s="3"/>
      <c r="P69" s="3"/>
      <c r="Q69" s="3" t="s">
        <v>20</v>
      </c>
      <c r="R69" s="3">
        <v>50</v>
      </c>
      <c r="S69" s="3">
        <v>100</v>
      </c>
      <c r="T69" s="3">
        <f t="shared" si="2"/>
        <v>150</v>
      </c>
      <c r="U69" s="3"/>
      <c r="V69" s="5"/>
      <c r="W69" s="68" t="s">
        <v>357</v>
      </c>
      <c r="X69" s="68" t="s">
        <v>313</v>
      </c>
      <c r="Y69" s="68" t="s">
        <v>323</v>
      </c>
      <c r="Z69" s="41" t="s">
        <v>174</v>
      </c>
    </row>
    <row r="70" spans="1:26" ht="21.75" customHeight="1" x14ac:dyDescent="0.75">
      <c r="A70" s="115"/>
      <c r="B70" s="126"/>
      <c r="C70" s="63">
        <v>68</v>
      </c>
      <c r="D70" s="108"/>
      <c r="E70" s="109"/>
      <c r="F70" s="19" t="s">
        <v>175</v>
      </c>
      <c r="G70" s="3"/>
      <c r="H70" s="5" t="s">
        <v>18</v>
      </c>
      <c r="I70" s="4">
        <v>1</v>
      </c>
      <c r="J70" s="2">
        <v>1</v>
      </c>
      <c r="K70" s="3" t="s">
        <v>19</v>
      </c>
      <c r="L70" s="2">
        <v>0.1</v>
      </c>
      <c r="M70" s="3"/>
      <c r="N70" s="2">
        <v>0.1</v>
      </c>
      <c r="O70" s="3"/>
      <c r="P70" s="3"/>
      <c r="Q70" s="3" t="s">
        <v>20</v>
      </c>
      <c r="R70" s="3">
        <v>50</v>
      </c>
      <c r="S70" s="3">
        <v>100</v>
      </c>
      <c r="T70" s="3">
        <f t="shared" si="2"/>
        <v>150</v>
      </c>
      <c r="U70" s="3"/>
      <c r="V70" s="5"/>
      <c r="W70" s="68" t="s">
        <v>324</v>
      </c>
      <c r="X70" s="68" t="s">
        <v>313</v>
      </c>
      <c r="Y70" s="68" t="s">
        <v>328</v>
      </c>
      <c r="Z70" s="41" t="s">
        <v>176</v>
      </c>
    </row>
    <row r="71" spans="1:26" ht="12.75" customHeight="1" x14ac:dyDescent="0.75">
      <c r="A71" s="122"/>
      <c r="B71" s="104" t="s">
        <v>280</v>
      </c>
      <c r="C71" s="63">
        <v>69</v>
      </c>
      <c r="D71" s="108" t="s">
        <v>392</v>
      </c>
      <c r="E71" s="109" t="s">
        <v>390</v>
      </c>
      <c r="F71" s="19">
        <v>61015</v>
      </c>
      <c r="G71" s="3"/>
      <c r="H71" s="5" t="s">
        <v>23</v>
      </c>
      <c r="I71" s="4">
        <v>1</v>
      </c>
      <c r="J71" s="2">
        <v>1</v>
      </c>
      <c r="K71" s="3" t="s">
        <v>19</v>
      </c>
      <c r="L71" s="2">
        <v>0.1</v>
      </c>
      <c r="M71" s="3"/>
      <c r="N71" s="80">
        <v>0.1</v>
      </c>
      <c r="O71" s="3"/>
      <c r="P71" s="3"/>
      <c r="Q71" s="3" t="s">
        <v>20</v>
      </c>
      <c r="R71" s="3">
        <v>50</v>
      </c>
      <c r="S71" s="3">
        <v>99.7</v>
      </c>
      <c r="T71" s="3">
        <f t="shared" si="2"/>
        <v>149.55000000000001</v>
      </c>
      <c r="U71" s="3"/>
      <c r="V71" s="5"/>
      <c r="W71" s="68" t="s">
        <v>319</v>
      </c>
      <c r="X71" s="68" t="s">
        <v>320</v>
      </c>
      <c r="Y71" s="68" t="s">
        <v>318</v>
      </c>
      <c r="Z71" s="41" t="s">
        <v>164</v>
      </c>
    </row>
    <row r="72" spans="1:26" ht="12.75" customHeight="1" x14ac:dyDescent="0.75">
      <c r="A72" s="122"/>
      <c r="B72" s="105"/>
      <c r="C72" s="63">
        <v>70</v>
      </c>
      <c r="D72" s="108"/>
      <c r="E72" s="109"/>
      <c r="F72" s="19">
        <v>61055</v>
      </c>
      <c r="G72" s="3"/>
      <c r="H72" s="5" t="s">
        <v>23</v>
      </c>
      <c r="I72" s="4">
        <v>1</v>
      </c>
      <c r="J72" s="2">
        <v>1</v>
      </c>
      <c r="K72" s="3" t="s">
        <v>19</v>
      </c>
      <c r="L72" s="2">
        <v>0.1</v>
      </c>
      <c r="M72" s="3"/>
      <c r="N72" s="80">
        <v>0.1</v>
      </c>
      <c r="O72" s="3"/>
      <c r="P72" s="3"/>
      <c r="Q72" s="3" t="s">
        <v>20</v>
      </c>
      <c r="R72" s="3">
        <v>50</v>
      </c>
      <c r="S72" s="3">
        <v>99.7</v>
      </c>
      <c r="T72" s="3">
        <f t="shared" si="2"/>
        <v>149.55000000000001</v>
      </c>
      <c r="U72" s="3"/>
      <c r="V72" s="5"/>
      <c r="W72" s="68" t="s">
        <v>319</v>
      </c>
      <c r="X72" s="68" t="s">
        <v>320</v>
      </c>
      <c r="Y72" s="68" t="s">
        <v>318</v>
      </c>
      <c r="Z72" s="41" t="s">
        <v>166</v>
      </c>
    </row>
    <row r="73" spans="1:26" ht="23" x14ac:dyDescent="0.75">
      <c r="A73" s="122"/>
      <c r="B73" s="105"/>
      <c r="C73" s="63">
        <v>71</v>
      </c>
      <c r="D73" s="108"/>
      <c r="E73" s="109"/>
      <c r="F73" s="19" t="s">
        <v>165</v>
      </c>
      <c r="G73" s="3"/>
      <c r="H73" s="5" t="s">
        <v>23</v>
      </c>
      <c r="I73" s="4">
        <v>1</v>
      </c>
      <c r="J73" s="2">
        <v>1</v>
      </c>
      <c r="K73" s="3" t="s">
        <v>19</v>
      </c>
      <c r="L73" s="2">
        <v>0.1</v>
      </c>
      <c r="M73" s="3"/>
      <c r="N73" s="80">
        <v>0.1</v>
      </c>
      <c r="O73" s="3"/>
      <c r="P73" s="3"/>
      <c r="Q73" s="3" t="s">
        <v>20</v>
      </c>
      <c r="R73" s="3">
        <v>50</v>
      </c>
      <c r="S73" s="3">
        <v>99.7</v>
      </c>
      <c r="T73" s="3">
        <f t="shared" si="2"/>
        <v>149.55000000000001</v>
      </c>
      <c r="U73" s="3"/>
      <c r="V73" s="5"/>
      <c r="W73" s="68" t="s">
        <v>319</v>
      </c>
      <c r="X73" s="68" t="s">
        <v>320</v>
      </c>
      <c r="Y73" s="68" t="s">
        <v>318</v>
      </c>
      <c r="Z73" s="41" t="s">
        <v>143</v>
      </c>
    </row>
    <row r="74" spans="1:26" ht="23" x14ac:dyDescent="0.75">
      <c r="A74" s="122"/>
      <c r="B74" s="105"/>
      <c r="C74" s="63">
        <v>72</v>
      </c>
      <c r="D74" s="108"/>
      <c r="E74" s="109"/>
      <c r="F74" s="19" t="s">
        <v>167</v>
      </c>
      <c r="G74" s="3"/>
      <c r="H74" s="5" t="s">
        <v>23</v>
      </c>
      <c r="I74" s="4">
        <v>1</v>
      </c>
      <c r="J74" s="2">
        <v>1</v>
      </c>
      <c r="K74" s="3" t="s">
        <v>19</v>
      </c>
      <c r="L74" s="2">
        <v>0.1</v>
      </c>
      <c r="M74" s="3"/>
      <c r="N74" s="80">
        <v>0.1</v>
      </c>
      <c r="O74" s="3"/>
      <c r="P74" s="3"/>
      <c r="Q74" s="3" t="s">
        <v>20</v>
      </c>
      <c r="R74" s="3">
        <v>50</v>
      </c>
      <c r="S74" s="3">
        <v>99.7</v>
      </c>
      <c r="T74" s="3">
        <f t="shared" si="2"/>
        <v>149.55000000000001</v>
      </c>
      <c r="U74" s="3"/>
      <c r="V74" s="5"/>
      <c r="W74" s="68" t="s">
        <v>319</v>
      </c>
      <c r="X74" s="68" t="s">
        <v>320</v>
      </c>
      <c r="Y74" s="68" t="s">
        <v>318</v>
      </c>
      <c r="Z74" s="41" t="s">
        <v>168</v>
      </c>
    </row>
    <row r="75" spans="1:26" ht="23" x14ac:dyDescent="0.3">
      <c r="A75" s="122"/>
      <c r="B75" s="105"/>
      <c r="C75" s="63">
        <v>73</v>
      </c>
      <c r="D75" s="70" t="s">
        <v>388</v>
      </c>
      <c r="E75" s="74" t="s">
        <v>391</v>
      </c>
      <c r="F75" s="19">
        <v>61071</v>
      </c>
      <c r="G75" s="3"/>
      <c r="H75" s="5" t="s">
        <v>27</v>
      </c>
      <c r="I75" s="4">
        <v>1</v>
      </c>
      <c r="J75" s="2">
        <v>1</v>
      </c>
      <c r="K75" s="3" t="s">
        <v>19</v>
      </c>
      <c r="L75" s="2">
        <v>0.1</v>
      </c>
      <c r="M75" s="3"/>
      <c r="N75" s="80">
        <v>0.1</v>
      </c>
      <c r="O75" s="3"/>
      <c r="P75" s="3"/>
      <c r="Q75" s="3" t="s">
        <v>20</v>
      </c>
      <c r="R75" s="3">
        <v>50</v>
      </c>
      <c r="S75" s="3">
        <v>100</v>
      </c>
      <c r="T75" s="3">
        <f t="shared" si="2"/>
        <v>150</v>
      </c>
      <c r="U75" s="3"/>
      <c r="V75" s="5"/>
      <c r="W75" s="68" t="s">
        <v>322</v>
      </c>
      <c r="X75" s="68" t="s">
        <v>313</v>
      </c>
      <c r="Y75" s="68" t="s">
        <v>318</v>
      </c>
      <c r="Z75" s="41" t="s">
        <v>169</v>
      </c>
    </row>
    <row r="76" spans="1:26" ht="12.75" customHeight="1" x14ac:dyDescent="0.75">
      <c r="A76" s="122"/>
      <c r="B76" s="105"/>
      <c r="C76" s="63">
        <v>74</v>
      </c>
      <c r="D76" s="108" t="s">
        <v>392</v>
      </c>
      <c r="E76" s="109" t="s">
        <v>390</v>
      </c>
      <c r="F76" s="19">
        <v>61075</v>
      </c>
      <c r="G76" s="3"/>
      <c r="H76" s="5" t="s">
        <v>23</v>
      </c>
      <c r="I76" s="4">
        <v>1</v>
      </c>
      <c r="J76" s="2">
        <v>1</v>
      </c>
      <c r="K76" s="3" t="s">
        <v>19</v>
      </c>
      <c r="L76" s="2">
        <v>0.1</v>
      </c>
      <c r="M76" s="3"/>
      <c r="N76" s="80">
        <v>0.1</v>
      </c>
      <c r="O76" s="3"/>
      <c r="P76" s="3"/>
      <c r="Q76" s="3" t="s">
        <v>20</v>
      </c>
      <c r="R76" s="3">
        <v>50</v>
      </c>
      <c r="S76" s="3">
        <v>100</v>
      </c>
      <c r="T76" s="3">
        <f t="shared" si="2"/>
        <v>150</v>
      </c>
      <c r="U76" s="3"/>
      <c r="V76" s="5"/>
      <c r="W76" s="68" t="s">
        <v>348</v>
      </c>
      <c r="X76" s="68" t="s">
        <v>313</v>
      </c>
      <c r="Y76" s="68" t="s">
        <v>318</v>
      </c>
      <c r="Z76" s="41" t="s">
        <v>170</v>
      </c>
    </row>
    <row r="77" spans="1:26" ht="12.75" customHeight="1" x14ac:dyDescent="0.75">
      <c r="A77" s="122"/>
      <c r="B77" s="105"/>
      <c r="C77" s="63">
        <v>75</v>
      </c>
      <c r="D77" s="108"/>
      <c r="E77" s="109"/>
      <c r="F77" s="19">
        <v>61076</v>
      </c>
      <c r="G77" s="3"/>
      <c r="H77" s="5" t="s">
        <v>23</v>
      </c>
      <c r="I77" s="4">
        <v>1</v>
      </c>
      <c r="J77" s="2">
        <v>1</v>
      </c>
      <c r="K77" s="3" t="s">
        <v>19</v>
      </c>
      <c r="L77" s="2">
        <v>0.1</v>
      </c>
      <c r="M77" s="3"/>
      <c r="N77" s="80">
        <v>0.1</v>
      </c>
      <c r="O77" s="3"/>
      <c r="P77" s="3"/>
      <c r="Q77" s="3" t="s">
        <v>20</v>
      </c>
      <c r="R77" s="3">
        <v>50</v>
      </c>
      <c r="S77" s="3">
        <v>100</v>
      </c>
      <c r="T77" s="3">
        <f t="shared" si="2"/>
        <v>150</v>
      </c>
      <c r="U77" s="3"/>
      <c r="V77" s="5"/>
      <c r="W77" s="68" t="s">
        <v>348</v>
      </c>
      <c r="X77" s="68" t="s">
        <v>313</v>
      </c>
      <c r="Y77" s="68" t="s">
        <v>318</v>
      </c>
      <c r="Z77" s="41" t="s">
        <v>171</v>
      </c>
    </row>
    <row r="78" spans="1:26" ht="12.75" customHeight="1" x14ac:dyDescent="0.75">
      <c r="A78" s="123"/>
      <c r="B78" s="106"/>
      <c r="C78" s="63">
        <v>76</v>
      </c>
      <c r="D78" s="108"/>
      <c r="E78" s="109"/>
      <c r="F78" s="19" t="s">
        <v>229</v>
      </c>
      <c r="G78" s="3"/>
      <c r="H78" s="5" t="s">
        <v>23</v>
      </c>
      <c r="I78" s="4">
        <v>1</v>
      </c>
      <c r="J78" s="2">
        <v>1</v>
      </c>
      <c r="K78" s="3" t="s">
        <v>19</v>
      </c>
      <c r="L78" s="2">
        <v>0.1</v>
      </c>
      <c r="M78" s="3"/>
      <c r="N78" s="80">
        <v>0.1</v>
      </c>
      <c r="O78" s="3"/>
      <c r="P78" s="3"/>
      <c r="Q78" s="3" t="s">
        <v>20</v>
      </c>
      <c r="R78" s="3">
        <v>50</v>
      </c>
      <c r="S78" s="3">
        <v>77</v>
      </c>
      <c r="T78" s="3">
        <f t="shared" si="2"/>
        <v>115.5</v>
      </c>
      <c r="U78" s="3"/>
      <c r="V78" s="5"/>
      <c r="W78" s="68" t="s">
        <v>347</v>
      </c>
      <c r="X78" s="68" t="s">
        <v>313</v>
      </c>
      <c r="Y78" s="68" t="s">
        <v>323</v>
      </c>
      <c r="Z78" s="41" t="s">
        <v>363</v>
      </c>
    </row>
    <row r="79" spans="1:26" ht="21.5" x14ac:dyDescent="0.75">
      <c r="A79" s="75">
        <v>10</v>
      </c>
      <c r="B79" s="52" t="s">
        <v>291</v>
      </c>
      <c r="C79" s="63">
        <v>77</v>
      </c>
      <c r="D79" s="70"/>
      <c r="E79" s="71"/>
      <c r="F79" s="19" t="s">
        <v>411</v>
      </c>
      <c r="G79" s="3"/>
      <c r="H79" s="54" t="s">
        <v>23</v>
      </c>
      <c r="I79" s="55">
        <v>1</v>
      </c>
      <c r="J79" s="56">
        <v>1</v>
      </c>
      <c r="K79" s="53" t="s">
        <v>19</v>
      </c>
      <c r="L79" s="79">
        <v>1</v>
      </c>
      <c r="M79" s="53"/>
      <c r="N79" s="80">
        <v>1</v>
      </c>
      <c r="O79" s="53"/>
      <c r="P79" s="53"/>
      <c r="Q79" s="53" t="s">
        <v>20</v>
      </c>
      <c r="R79" s="53">
        <v>50</v>
      </c>
      <c r="S79" s="53">
        <v>100</v>
      </c>
      <c r="T79" s="53">
        <f t="shared" si="2"/>
        <v>150</v>
      </c>
      <c r="U79" s="53" t="s">
        <v>20</v>
      </c>
      <c r="V79" s="54"/>
      <c r="W79" s="65"/>
      <c r="X79" s="65"/>
      <c r="Y79" s="65"/>
      <c r="Z79" s="57" t="s">
        <v>292</v>
      </c>
    </row>
    <row r="80" spans="1:26" ht="21.75" customHeight="1" x14ac:dyDescent="0.75">
      <c r="A80" s="42">
        <v>11</v>
      </c>
      <c r="B80" s="1"/>
      <c r="C80" s="63">
        <v>78</v>
      </c>
      <c r="D80" s="108" t="s">
        <v>389</v>
      </c>
      <c r="E80" s="109"/>
      <c r="F80" s="19">
        <v>61170</v>
      </c>
      <c r="G80" s="3"/>
      <c r="H80" s="5" t="s">
        <v>57</v>
      </c>
      <c r="I80" s="4">
        <v>1</v>
      </c>
      <c r="J80" s="2">
        <v>1</v>
      </c>
      <c r="K80" s="3" t="s">
        <v>19</v>
      </c>
      <c r="L80" s="2">
        <v>0.1</v>
      </c>
      <c r="M80" s="3"/>
      <c r="N80" s="7">
        <v>0.05</v>
      </c>
      <c r="O80" s="3"/>
      <c r="P80" s="3"/>
      <c r="Q80" s="3" t="s">
        <v>20</v>
      </c>
      <c r="R80" s="3">
        <v>50</v>
      </c>
      <c r="S80" s="3">
        <v>94.7</v>
      </c>
      <c r="T80" s="3">
        <f t="shared" si="2"/>
        <v>142.05000000000001</v>
      </c>
      <c r="U80" s="3"/>
      <c r="V80" s="5"/>
      <c r="W80" s="68" t="s">
        <v>324</v>
      </c>
      <c r="X80" s="68" t="s">
        <v>325</v>
      </c>
      <c r="Y80" s="68" t="s">
        <v>349</v>
      </c>
      <c r="Z80" s="41" t="s">
        <v>172</v>
      </c>
    </row>
    <row r="81" spans="1:26" x14ac:dyDescent="0.75">
      <c r="A81" s="107">
        <v>12</v>
      </c>
      <c r="B81" s="131" t="s">
        <v>282</v>
      </c>
      <c r="C81" s="63">
        <v>79</v>
      </c>
      <c r="D81" s="108" t="s">
        <v>388</v>
      </c>
      <c r="E81" s="109" t="s">
        <v>391</v>
      </c>
      <c r="F81" s="19" t="s">
        <v>190</v>
      </c>
      <c r="G81" s="3"/>
      <c r="H81" s="5" t="s">
        <v>18</v>
      </c>
      <c r="I81" s="4">
        <v>1</v>
      </c>
      <c r="J81" s="2">
        <v>1</v>
      </c>
      <c r="K81" s="3" t="s">
        <v>19</v>
      </c>
      <c r="L81" s="2">
        <v>0.1</v>
      </c>
      <c r="M81" s="3"/>
      <c r="N81" s="7">
        <v>0.05</v>
      </c>
      <c r="O81" s="3"/>
      <c r="P81" s="3"/>
      <c r="Q81" s="3" t="s">
        <v>20</v>
      </c>
      <c r="R81" s="3">
        <v>50</v>
      </c>
      <c r="S81" s="3">
        <v>150</v>
      </c>
      <c r="T81" s="3">
        <f t="shared" si="2"/>
        <v>225</v>
      </c>
      <c r="U81" s="3"/>
      <c r="V81" s="5"/>
      <c r="W81" s="68" t="s">
        <v>322</v>
      </c>
      <c r="X81" s="68" t="s">
        <v>313</v>
      </c>
      <c r="Y81" s="68" t="s">
        <v>318</v>
      </c>
      <c r="Z81" s="41" t="s">
        <v>191</v>
      </c>
    </row>
    <row r="82" spans="1:26" ht="23" x14ac:dyDescent="0.75">
      <c r="A82" s="107"/>
      <c r="B82" s="132"/>
      <c r="C82" s="63">
        <v>80</v>
      </c>
      <c r="D82" s="108"/>
      <c r="E82" s="109"/>
      <c r="F82" s="19" t="s">
        <v>192</v>
      </c>
      <c r="G82" s="3"/>
      <c r="H82" s="5" t="s">
        <v>27</v>
      </c>
      <c r="I82" s="4">
        <v>1</v>
      </c>
      <c r="J82" s="2">
        <v>1</v>
      </c>
      <c r="K82" s="3" t="s">
        <v>19</v>
      </c>
      <c r="L82" s="2">
        <v>0.1</v>
      </c>
      <c r="M82" s="3"/>
      <c r="N82" s="7">
        <v>0.05</v>
      </c>
      <c r="O82" s="3"/>
      <c r="P82" s="3"/>
      <c r="Q82" s="3" t="s">
        <v>20</v>
      </c>
      <c r="R82" s="3">
        <v>50</v>
      </c>
      <c r="S82" s="3">
        <v>150</v>
      </c>
      <c r="T82" s="3">
        <f t="shared" si="2"/>
        <v>225</v>
      </c>
      <c r="U82" s="3"/>
      <c r="V82" s="5"/>
      <c r="W82" s="68" t="s">
        <v>322</v>
      </c>
      <c r="X82" s="68" t="s">
        <v>313</v>
      </c>
      <c r="Y82" s="68" t="s">
        <v>318</v>
      </c>
      <c r="Z82" s="41" t="s">
        <v>193</v>
      </c>
    </row>
    <row r="83" spans="1:26" ht="21.75" customHeight="1" x14ac:dyDescent="0.75">
      <c r="A83" s="107"/>
      <c r="B83" s="132"/>
      <c r="C83" s="63">
        <v>81</v>
      </c>
      <c r="D83" s="108"/>
      <c r="E83" s="109"/>
      <c r="F83" s="19">
        <v>91071</v>
      </c>
      <c r="G83" s="3"/>
      <c r="H83" s="5" t="s">
        <v>27</v>
      </c>
      <c r="I83" s="4">
        <v>1</v>
      </c>
      <c r="J83" s="2">
        <v>1</v>
      </c>
      <c r="K83" s="3" t="s">
        <v>19</v>
      </c>
      <c r="L83" s="2">
        <v>0.1</v>
      </c>
      <c r="M83" s="3"/>
      <c r="N83" s="7">
        <v>0.05</v>
      </c>
      <c r="O83" s="3"/>
      <c r="P83" s="3"/>
      <c r="Q83" s="3" t="s">
        <v>20</v>
      </c>
      <c r="R83" s="3">
        <v>50</v>
      </c>
      <c r="S83" s="3">
        <v>150</v>
      </c>
      <c r="T83" s="3">
        <f t="shared" si="2"/>
        <v>225</v>
      </c>
      <c r="U83" s="3"/>
      <c r="V83" s="5"/>
      <c r="W83" s="68" t="s">
        <v>322</v>
      </c>
      <c r="X83" s="68" t="s">
        <v>313</v>
      </c>
      <c r="Y83" s="68" t="s">
        <v>318</v>
      </c>
      <c r="Z83" s="41" t="s">
        <v>194</v>
      </c>
    </row>
    <row r="84" spans="1:26" ht="23" x14ac:dyDescent="0.75">
      <c r="A84" s="107"/>
      <c r="B84" s="133"/>
      <c r="C84" s="63">
        <v>82</v>
      </c>
      <c r="D84" s="108"/>
      <c r="E84" s="109"/>
      <c r="F84" s="19" t="s">
        <v>195</v>
      </c>
      <c r="G84" s="3"/>
      <c r="H84" s="5" t="s">
        <v>18</v>
      </c>
      <c r="I84" s="4">
        <v>1</v>
      </c>
      <c r="J84" s="2">
        <v>1</v>
      </c>
      <c r="K84" s="3" t="s">
        <v>19</v>
      </c>
      <c r="L84" s="2">
        <v>0.1</v>
      </c>
      <c r="M84" s="3"/>
      <c r="N84" s="7">
        <v>0.05</v>
      </c>
      <c r="O84" s="3"/>
      <c r="P84" s="3"/>
      <c r="Q84" s="3" t="s">
        <v>20</v>
      </c>
      <c r="R84" s="3">
        <v>50</v>
      </c>
      <c r="S84" s="3">
        <v>150</v>
      </c>
      <c r="T84" s="3">
        <f t="shared" si="2"/>
        <v>225</v>
      </c>
      <c r="U84" s="3"/>
      <c r="V84" s="5"/>
      <c r="W84" s="68" t="s">
        <v>357</v>
      </c>
      <c r="X84" s="68" t="s">
        <v>313</v>
      </c>
      <c r="Y84" s="68" t="s">
        <v>318</v>
      </c>
      <c r="Z84" s="41" t="s">
        <v>135</v>
      </c>
    </row>
    <row r="85" spans="1:26" x14ac:dyDescent="0.75">
      <c r="A85" s="107">
        <v>13</v>
      </c>
      <c r="B85" s="104" t="s">
        <v>277</v>
      </c>
      <c r="C85" s="63">
        <v>83</v>
      </c>
      <c r="D85" s="108" t="s">
        <v>388</v>
      </c>
      <c r="E85" s="109" t="s">
        <v>391</v>
      </c>
      <c r="F85" s="19" t="s">
        <v>197</v>
      </c>
      <c r="G85" s="3"/>
      <c r="H85" s="5" t="s">
        <v>18</v>
      </c>
      <c r="I85" s="4">
        <v>1</v>
      </c>
      <c r="J85" s="2">
        <v>1</v>
      </c>
      <c r="K85" s="3" t="s">
        <v>19</v>
      </c>
      <c r="L85" s="2">
        <v>0.1</v>
      </c>
      <c r="M85" s="3"/>
      <c r="N85" s="7">
        <v>0.05</v>
      </c>
      <c r="O85" s="3"/>
      <c r="P85" s="3"/>
      <c r="Q85" s="3" t="s">
        <v>20</v>
      </c>
      <c r="R85" s="3">
        <v>50</v>
      </c>
      <c r="S85" s="3">
        <v>250</v>
      </c>
      <c r="T85" s="3">
        <v>335</v>
      </c>
      <c r="U85" s="3"/>
      <c r="V85" s="5"/>
      <c r="W85" s="68" t="s">
        <v>322</v>
      </c>
      <c r="X85" s="68" t="s">
        <v>313</v>
      </c>
      <c r="Y85" s="68" t="s">
        <v>318</v>
      </c>
      <c r="Z85" s="41" t="s">
        <v>198</v>
      </c>
    </row>
    <row r="86" spans="1:26" ht="21.75" customHeight="1" x14ac:dyDescent="0.75">
      <c r="A86" s="107"/>
      <c r="B86" s="105"/>
      <c r="C86" s="63">
        <v>84</v>
      </c>
      <c r="D86" s="108"/>
      <c r="E86" s="109"/>
      <c r="F86" s="19">
        <v>151071</v>
      </c>
      <c r="G86" s="3"/>
      <c r="H86" s="5" t="s">
        <v>27</v>
      </c>
      <c r="I86" s="4">
        <v>1</v>
      </c>
      <c r="J86" s="2">
        <v>1</v>
      </c>
      <c r="K86" s="3" t="s">
        <v>19</v>
      </c>
      <c r="L86" s="2">
        <v>0.1</v>
      </c>
      <c r="M86" s="3"/>
      <c r="N86" s="7">
        <v>0.05</v>
      </c>
      <c r="O86" s="3"/>
      <c r="P86" s="3"/>
      <c r="Q86" s="3" t="s">
        <v>20</v>
      </c>
      <c r="R86" s="3">
        <v>50</v>
      </c>
      <c r="S86" s="3">
        <v>250</v>
      </c>
      <c r="T86" s="3">
        <v>335</v>
      </c>
      <c r="U86" s="3"/>
      <c r="V86" s="5"/>
      <c r="W86" s="68" t="s">
        <v>322</v>
      </c>
      <c r="X86" s="68" t="s">
        <v>313</v>
      </c>
      <c r="Y86" s="68" t="s">
        <v>318</v>
      </c>
      <c r="Z86" s="41" t="s">
        <v>201</v>
      </c>
    </row>
    <row r="87" spans="1:26" ht="23" x14ac:dyDescent="0.75">
      <c r="A87" s="107"/>
      <c r="B87" s="105"/>
      <c r="C87" s="63">
        <v>85</v>
      </c>
      <c r="D87" s="108"/>
      <c r="E87" s="109"/>
      <c r="F87" s="19" t="s">
        <v>203</v>
      </c>
      <c r="G87" s="3" t="s">
        <v>309</v>
      </c>
      <c r="H87" s="5" t="s">
        <v>18</v>
      </c>
      <c r="I87" s="4">
        <v>1</v>
      </c>
      <c r="J87" s="2">
        <v>1</v>
      </c>
      <c r="K87" s="3" t="s">
        <v>19</v>
      </c>
      <c r="L87" s="2">
        <v>0.1</v>
      </c>
      <c r="M87" s="3"/>
      <c r="N87" s="7">
        <v>0.05</v>
      </c>
      <c r="O87" s="3"/>
      <c r="P87" s="3"/>
      <c r="Q87" s="3" t="s">
        <v>20</v>
      </c>
      <c r="R87" s="3">
        <v>50</v>
      </c>
      <c r="S87" s="3">
        <v>250</v>
      </c>
      <c r="T87" s="3">
        <v>335</v>
      </c>
      <c r="U87" s="3"/>
      <c r="V87" s="5"/>
      <c r="W87" s="68" t="s">
        <v>357</v>
      </c>
      <c r="X87" s="68" t="s">
        <v>313</v>
      </c>
      <c r="Y87" s="68" t="s">
        <v>318</v>
      </c>
      <c r="Z87" s="41" t="s">
        <v>204</v>
      </c>
    </row>
    <row r="88" spans="1:26" ht="21.75" customHeight="1" x14ac:dyDescent="0.75">
      <c r="A88" s="107"/>
      <c r="B88" s="105"/>
      <c r="C88" s="63">
        <v>86</v>
      </c>
      <c r="D88" s="108"/>
      <c r="E88" s="109"/>
      <c r="F88" s="19" t="s">
        <v>205</v>
      </c>
      <c r="G88" s="3"/>
      <c r="H88" s="5" t="s">
        <v>18</v>
      </c>
      <c r="I88" s="4">
        <v>1</v>
      </c>
      <c r="J88" s="2">
        <v>1</v>
      </c>
      <c r="K88" s="3" t="s">
        <v>19</v>
      </c>
      <c r="L88" s="2">
        <v>0.1</v>
      </c>
      <c r="M88" s="3"/>
      <c r="N88" s="7">
        <v>0.05</v>
      </c>
      <c r="O88" s="3"/>
      <c r="P88" s="3"/>
      <c r="Q88" s="3" t="s">
        <v>20</v>
      </c>
      <c r="R88" s="3">
        <v>50</v>
      </c>
      <c r="S88" s="3">
        <v>222.6</v>
      </c>
      <c r="T88" s="3">
        <f t="shared" ref="T88:T95" si="3">S88*1.5</f>
        <v>333.9</v>
      </c>
      <c r="U88" s="3"/>
      <c r="V88" s="5"/>
      <c r="W88" s="68" t="s">
        <v>324</v>
      </c>
      <c r="X88" s="68" t="s">
        <v>313</v>
      </c>
      <c r="Y88" s="68" t="s">
        <v>361</v>
      </c>
      <c r="Z88" s="41" t="s">
        <v>206</v>
      </c>
    </row>
    <row r="89" spans="1:26" ht="23" x14ac:dyDescent="0.75">
      <c r="A89" s="107"/>
      <c r="B89" s="105"/>
      <c r="C89" s="63">
        <v>87</v>
      </c>
      <c r="D89" s="108" t="s">
        <v>392</v>
      </c>
      <c r="E89" s="109" t="s">
        <v>390</v>
      </c>
      <c r="F89" s="19" t="s">
        <v>199</v>
      </c>
      <c r="G89" s="3"/>
      <c r="H89" s="5" t="s">
        <v>23</v>
      </c>
      <c r="I89" s="4">
        <v>1</v>
      </c>
      <c r="J89" s="2">
        <v>1</v>
      </c>
      <c r="K89" s="3" t="s">
        <v>19</v>
      </c>
      <c r="L89" s="2">
        <v>0.1</v>
      </c>
      <c r="M89" s="3"/>
      <c r="N89" s="7">
        <v>0.05</v>
      </c>
      <c r="O89" s="3"/>
      <c r="P89" s="3"/>
      <c r="Q89" s="3" t="s">
        <v>20</v>
      </c>
      <c r="R89" s="3">
        <v>50</v>
      </c>
      <c r="S89" s="3">
        <v>223.5</v>
      </c>
      <c r="T89" s="3">
        <f t="shared" si="3"/>
        <v>335.25</v>
      </c>
      <c r="U89" s="3"/>
      <c r="V89" s="5"/>
      <c r="W89" s="68" t="s">
        <v>322</v>
      </c>
      <c r="X89" s="68" t="s">
        <v>320</v>
      </c>
      <c r="Y89" s="68" t="s">
        <v>318</v>
      </c>
      <c r="Z89" s="41" t="s">
        <v>200</v>
      </c>
    </row>
    <row r="90" spans="1:26" ht="23" x14ac:dyDescent="0.75">
      <c r="A90" s="107"/>
      <c r="B90" s="105"/>
      <c r="C90" s="63">
        <v>88</v>
      </c>
      <c r="D90" s="108"/>
      <c r="E90" s="109"/>
      <c r="F90" s="19">
        <v>151076</v>
      </c>
      <c r="G90" s="3"/>
      <c r="H90" s="5" t="s">
        <v>23</v>
      </c>
      <c r="I90" s="4">
        <v>1</v>
      </c>
      <c r="J90" s="2">
        <v>1</v>
      </c>
      <c r="K90" s="3" t="s">
        <v>19</v>
      </c>
      <c r="L90" s="2">
        <v>0.1</v>
      </c>
      <c r="M90" s="3"/>
      <c r="N90" s="7">
        <v>0.05</v>
      </c>
      <c r="O90" s="3"/>
      <c r="P90" s="3"/>
      <c r="Q90" s="3" t="s">
        <v>20</v>
      </c>
      <c r="R90" s="3">
        <v>50</v>
      </c>
      <c r="S90" s="3">
        <v>230</v>
      </c>
      <c r="T90" s="3">
        <f t="shared" si="3"/>
        <v>345</v>
      </c>
      <c r="U90" s="3"/>
      <c r="V90" s="5"/>
      <c r="W90" s="68" t="s">
        <v>348</v>
      </c>
      <c r="X90" s="68" t="s">
        <v>313</v>
      </c>
      <c r="Y90" s="68" t="s">
        <v>318</v>
      </c>
      <c r="Z90" s="41" t="s">
        <v>202</v>
      </c>
    </row>
    <row r="91" spans="1:26" ht="34.5" x14ac:dyDescent="0.75">
      <c r="A91" s="107"/>
      <c r="B91" s="106"/>
      <c r="C91" s="63">
        <v>89</v>
      </c>
      <c r="D91" s="108"/>
      <c r="E91" s="109"/>
      <c r="F91" s="19" t="s">
        <v>230</v>
      </c>
      <c r="G91" s="3"/>
      <c r="H91" s="5" t="s">
        <v>23</v>
      </c>
      <c r="I91" s="4">
        <v>1</v>
      </c>
      <c r="J91" s="2">
        <v>1</v>
      </c>
      <c r="K91" s="3" t="s">
        <v>19</v>
      </c>
      <c r="L91" s="2">
        <v>0.1</v>
      </c>
      <c r="M91" s="3"/>
      <c r="N91" s="7">
        <v>0.05</v>
      </c>
      <c r="O91" s="3"/>
      <c r="P91" s="3"/>
      <c r="Q91" s="3" t="s">
        <v>20</v>
      </c>
      <c r="R91" s="3">
        <v>50</v>
      </c>
      <c r="S91" s="3">
        <v>215</v>
      </c>
      <c r="T91" s="3">
        <f t="shared" si="3"/>
        <v>322.5</v>
      </c>
      <c r="U91" s="3"/>
      <c r="V91" s="5"/>
      <c r="W91" s="68" t="s">
        <v>348</v>
      </c>
      <c r="X91" s="68" t="s">
        <v>313</v>
      </c>
      <c r="Y91" s="68" t="s">
        <v>321</v>
      </c>
      <c r="Z91" s="41" t="s">
        <v>363</v>
      </c>
    </row>
    <row r="92" spans="1:26" x14ac:dyDescent="0.75">
      <c r="A92" s="107">
        <v>14</v>
      </c>
      <c r="B92" s="104"/>
      <c r="C92" s="63">
        <v>90</v>
      </c>
      <c r="D92" s="108" t="s">
        <v>388</v>
      </c>
      <c r="E92" s="109" t="s">
        <v>391</v>
      </c>
      <c r="F92" s="19" t="s">
        <v>209</v>
      </c>
      <c r="G92" s="3"/>
      <c r="H92" s="5" t="s">
        <v>18</v>
      </c>
      <c r="I92" s="4">
        <v>1</v>
      </c>
      <c r="J92" s="2">
        <v>1</v>
      </c>
      <c r="K92" s="3" t="s">
        <v>19</v>
      </c>
      <c r="L92" s="2">
        <v>0.1</v>
      </c>
      <c r="M92" s="3"/>
      <c r="N92" s="7">
        <v>0.05</v>
      </c>
      <c r="O92" s="3"/>
      <c r="P92" s="3"/>
      <c r="Q92" s="3" t="s">
        <v>20</v>
      </c>
      <c r="R92" s="3">
        <v>50</v>
      </c>
      <c r="S92" s="3">
        <v>257.7</v>
      </c>
      <c r="T92" s="3">
        <f t="shared" si="3"/>
        <v>386.54999999999995</v>
      </c>
      <c r="U92" s="3"/>
      <c r="V92" s="5"/>
      <c r="W92" s="68" t="s">
        <v>322</v>
      </c>
      <c r="X92" s="68" t="s">
        <v>313</v>
      </c>
      <c r="Y92" s="68" t="s">
        <v>318</v>
      </c>
      <c r="Z92" s="41" t="s">
        <v>362</v>
      </c>
    </row>
    <row r="93" spans="1:26" ht="23" x14ac:dyDescent="0.75">
      <c r="A93" s="107"/>
      <c r="B93" s="105"/>
      <c r="C93" s="63">
        <v>91</v>
      </c>
      <c r="D93" s="108"/>
      <c r="E93" s="109"/>
      <c r="F93" s="19" t="s">
        <v>210</v>
      </c>
      <c r="G93" s="3"/>
      <c r="H93" s="5" t="s">
        <v>18</v>
      </c>
      <c r="I93" s="4">
        <v>1</v>
      </c>
      <c r="J93" s="2">
        <v>1</v>
      </c>
      <c r="K93" s="3" t="s">
        <v>19</v>
      </c>
      <c r="L93" s="2">
        <v>0.1</v>
      </c>
      <c r="M93" s="3"/>
      <c r="N93" s="7">
        <v>0.05</v>
      </c>
      <c r="O93" s="3"/>
      <c r="P93" s="3"/>
      <c r="Q93" s="3" t="s">
        <v>20</v>
      </c>
      <c r="R93" s="3">
        <v>50</v>
      </c>
      <c r="S93" s="3">
        <v>257.7</v>
      </c>
      <c r="T93" s="3">
        <f t="shared" si="3"/>
        <v>386.54999999999995</v>
      </c>
      <c r="U93" s="3"/>
      <c r="V93" s="5"/>
      <c r="W93" s="68" t="s">
        <v>357</v>
      </c>
      <c r="X93" s="68" t="s">
        <v>364</v>
      </c>
      <c r="Y93" s="68" t="s">
        <v>318</v>
      </c>
      <c r="Z93" s="41" t="s">
        <v>204</v>
      </c>
    </row>
    <row r="94" spans="1:26" ht="34.5" x14ac:dyDescent="0.75">
      <c r="A94" s="107"/>
      <c r="B94" s="105"/>
      <c r="C94" s="63">
        <v>92</v>
      </c>
      <c r="D94" s="108" t="s">
        <v>392</v>
      </c>
      <c r="E94" s="109" t="s">
        <v>390</v>
      </c>
      <c r="F94" s="19">
        <v>251076</v>
      </c>
      <c r="G94" s="3"/>
      <c r="H94" s="5" t="s">
        <v>23</v>
      </c>
      <c r="I94" s="4">
        <v>1</v>
      </c>
      <c r="J94" s="2">
        <v>1</v>
      </c>
      <c r="K94" s="3" t="s">
        <v>19</v>
      </c>
      <c r="L94" s="2">
        <v>0.1</v>
      </c>
      <c r="M94" s="3"/>
      <c r="N94" s="7">
        <v>0.05</v>
      </c>
      <c r="O94" s="3"/>
      <c r="P94" s="3"/>
      <c r="Q94" s="3" t="s">
        <v>20</v>
      </c>
      <c r="R94" s="3">
        <v>50</v>
      </c>
      <c r="S94" s="3">
        <v>247.3</v>
      </c>
      <c r="T94" s="3">
        <f t="shared" si="3"/>
        <v>370.95000000000005</v>
      </c>
      <c r="U94" s="3"/>
      <c r="V94" s="5"/>
      <c r="W94" s="68" t="s">
        <v>348</v>
      </c>
      <c r="X94" s="68" t="s">
        <v>313</v>
      </c>
      <c r="Y94" s="68" t="s">
        <v>318</v>
      </c>
      <c r="Z94" s="41" t="s">
        <v>363</v>
      </c>
    </row>
    <row r="95" spans="1:26" ht="34.5" x14ac:dyDescent="0.75">
      <c r="A95" s="107"/>
      <c r="B95" s="106"/>
      <c r="C95" s="63">
        <v>93</v>
      </c>
      <c r="D95" s="108"/>
      <c r="E95" s="109"/>
      <c r="F95" s="19" t="s">
        <v>233</v>
      </c>
      <c r="G95" s="3"/>
      <c r="H95" s="5" t="s">
        <v>23</v>
      </c>
      <c r="I95" s="4">
        <v>1</v>
      </c>
      <c r="J95" s="2">
        <v>1</v>
      </c>
      <c r="K95" s="3" t="s">
        <v>19</v>
      </c>
      <c r="L95" s="2">
        <v>0.1</v>
      </c>
      <c r="M95" s="3"/>
      <c r="N95" s="7">
        <v>0.05</v>
      </c>
      <c r="O95" s="3"/>
      <c r="P95" s="3"/>
      <c r="Q95" s="3" t="s">
        <v>20</v>
      </c>
      <c r="R95" s="3">
        <v>50</v>
      </c>
      <c r="S95" s="3">
        <v>248</v>
      </c>
      <c r="T95" s="3">
        <f t="shared" si="3"/>
        <v>372</v>
      </c>
      <c r="U95" s="3"/>
      <c r="V95" s="5"/>
      <c r="W95" s="68" t="s">
        <v>348</v>
      </c>
      <c r="X95" s="68" t="s">
        <v>313</v>
      </c>
      <c r="Y95" s="68" t="s">
        <v>335</v>
      </c>
      <c r="Z95" s="41" t="s">
        <v>363</v>
      </c>
    </row>
    <row r="96" spans="1:26" ht="23" x14ac:dyDescent="0.75">
      <c r="A96" s="107">
        <v>15</v>
      </c>
      <c r="B96" s="104" t="s">
        <v>281</v>
      </c>
      <c r="C96" s="63">
        <v>94</v>
      </c>
      <c r="D96" s="108" t="s">
        <v>393</v>
      </c>
      <c r="E96" s="109"/>
      <c r="F96" s="19" t="s">
        <v>66</v>
      </c>
      <c r="G96" s="3"/>
      <c r="H96" s="5" t="s">
        <v>67</v>
      </c>
      <c r="I96" s="4">
        <v>8</v>
      </c>
      <c r="J96" s="2">
        <v>0.05</v>
      </c>
      <c r="K96" s="3" t="s">
        <v>19</v>
      </c>
      <c r="L96" s="3"/>
      <c r="M96" s="79">
        <v>0.1</v>
      </c>
      <c r="N96" s="4"/>
      <c r="O96" s="2">
        <v>1</v>
      </c>
      <c r="P96" s="101" t="s">
        <v>404</v>
      </c>
      <c r="Q96" s="3" t="s">
        <v>20</v>
      </c>
      <c r="R96" s="3">
        <v>50</v>
      </c>
      <c r="S96" s="3">
        <v>19.3</v>
      </c>
      <c r="T96" s="3">
        <v>28.95</v>
      </c>
      <c r="U96" s="2"/>
      <c r="V96" s="5"/>
      <c r="W96" s="68" t="s">
        <v>324</v>
      </c>
      <c r="X96" s="68" t="s">
        <v>313</v>
      </c>
      <c r="Y96" s="68" t="s">
        <v>331</v>
      </c>
      <c r="Z96" s="41" t="s">
        <v>68</v>
      </c>
    </row>
    <row r="97" spans="1:26" ht="23" x14ac:dyDescent="0.75">
      <c r="A97" s="107"/>
      <c r="B97" s="105"/>
      <c r="C97" s="63">
        <v>95</v>
      </c>
      <c r="D97" s="108"/>
      <c r="E97" s="109"/>
      <c r="F97" s="19">
        <v>13030</v>
      </c>
      <c r="G97" s="3"/>
      <c r="H97" s="5" t="s">
        <v>67</v>
      </c>
      <c r="I97" s="4">
        <v>8</v>
      </c>
      <c r="J97" s="2">
        <v>0.05</v>
      </c>
      <c r="K97" s="3" t="s">
        <v>19</v>
      </c>
      <c r="L97" s="3"/>
      <c r="M97" s="79">
        <v>0.1</v>
      </c>
      <c r="N97" s="4"/>
      <c r="O97" s="2">
        <v>1</v>
      </c>
      <c r="P97" s="102"/>
      <c r="Q97" s="3" t="s">
        <v>20</v>
      </c>
      <c r="R97" s="3">
        <v>50</v>
      </c>
      <c r="S97" s="3">
        <v>19.3</v>
      </c>
      <c r="T97" s="3">
        <v>28.95</v>
      </c>
      <c r="U97" s="2"/>
      <c r="V97" s="5"/>
      <c r="W97" s="68" t="s">
        <v>324</v>
      </c>
      <c r="X97" s="68" t="s">
        <v>313</v>
      </c>
      <c r="Y97" s="68" t="s">
        <v>332</v>
      </c>
      <c r="Z97" s="41" t="s">
        <v>69</v>
      </c>
    </row>
    <row r="98" spans="1:26" s="91" customFormat="1" ht="27" customHeight="1" x14ac:dyDescent="0.75">
      <c r="A98" s="107"/>
      <c r="B98" s="105"/>
      <c r="C98" s="82" t="s">
        <v>405</v>
      </c>
      <c r="D98" s="108"/>
      <c r="E98" s="109"/>
      <c r="F98" s="83" t="s">
        <v>406</v>
      </c>
      <c r="G98" s="84"/>
      <c r="H98" s="85" t="s">
        <v>67</v>
      </c>
      <c r="I98" s="86">
        <v>8</v>
      </c>
      <c r="J98" s="87">
        <v>0.1</v>
      </c>
      <c r="K98" s="84" t="s">
        <v>19</v>
      </c>
      <c r="L98" s="84"/>
      <c r="M98" s="88">
        <v>0.1</v>
      </c>
      <c r="N98" s="86"/>
      <c r="O98" s="87">
        <v>1</v>
      </c>
      <c r="P98" s="102"/>
      <c r="Q98" s="84" t="s">
        <v>20</v>
      </c>
      <c r="R98" s="84"/>
      <c r="S98" s="84"/>
      <c r="T98" s="84"/>
      <c r="U98" s="87"/>
      <c r="V98" s="85"/>
      <c r="W98" s="89"/>
      <c r="X98" s="89"/>
      <c r="Y98" s="89"/>
      <c r="Z98" s="90"/>
    </row>
    <row r="99" spans="1:26" ht="21" customHeight="1" x14ac:dyDescent="0.75">
      <c r="A99" s="107"/>
      <c r="B99" s="105"/>
      <c r="C99" s="63">
        <v>96</v>
      </c>
      <c r="D99" s="108"/>
      <c r="E99" s="109"/>
      <c r="F99" s="19" t="s">
        <v>72</v>
      </c>
      <c r="G99" s="3" t="s">
        <v>311</v>
      </c>
      <c r="H99" s="5" t="s">
        <v>67</v>
      </c>
      <c r="I99" s="4">
        <v>8</v>
      </c>
      <c r="J99" s="2">
        <v>0.05</v>
      </c>
      <c r="K99" s="3" t="s">
        <v>19</v>
      </c>
      <c r="L99" s="3"/>
      <c r="M99" s="79">
        <v>0.1</v>
      </c>
      <c r="N99" s="4"/>
      <c r="O99" s="2">
        <v>1</v>
      </c>
      <c r="P99" s="102"/>
      <c r="Q99" s="3" t="s">
        <v>20</v>
      </c>
      <c r="R99" s="3">
        <v>50</v>
      </c>
      <c r="S99" s="3">
        <v>19.3</v>
      </c>
      <c r="T99" s="3">
        <v>28.95</v>
      </c>
      <c r="U99" s="2"/>
      <c r="V99" s="5"/>
      <c r="W99" s="68" t="s">
        <v>324</v>
      </c>
      <c r="X99" s="68" t="s">
        <v>320</v>
      </c>
      <c r="Y99" s="68" t="s">
        <v>332</v>
      </c>
      <c r="Z99" s="41" t="s">
        <v>310</v>
      </c>
    </row>
    <row r="100" spans="1:26" ht="23" x14ac:dyDescent="0.75">
      <c r="A100" s="107"/>
      <c r="B100" s="105"/>
      <c r="C100" s="63">
        <v>97</v>
      </c>
      <c r="D100" s="108"/>
      <c r="E100" s="109"/>
      <c r="F100" s="19" t="s">
        <v>70</v>
      </c>
      <c r="G100" s="3"/>
      <c r="H100" s="5" t="s">
        <v>67</v>
      </c>
      <c r="I100" s="4">
        <v>8</v>
      </c>
      <c r="J100" s="2">
        <v>1</v>
      </c>
      <c r="K100" s="3" t="s">
        <v>19</v>
      </c>
      <c r="L100" s="3"/>
      <c r="M100" s="2">
        <v>0.1</v>
      </c>
      <c r="N100" s="4"/>
      <c r="O100" s="2">
        <v>1</v>
      </c>
      <c r="P100" s="102"/>
      <c r="Q100" s="3" t="s">
        <v>20</v>
      </c>
      <c r="R100" s="3">
        <v>50</v>
      </c>
      <c r="S100" s="3">
        <v>19.3</v>
      </c>
      <c r="T100" s="3">
        <v>28.95</v>
      </c>
      <c r="U100" s="2"/>
      <c r="V100" s="5"/>
      <c r="W100" s="68" t="s">
        <v>324</v>
      </c>
      <c r="X100" s="68" t="s">
        <v>313</v>
      </c>
      <c r="Y100" s="68" t="s">
        <v>332</v>
      </c>
      <c r="Z100" s="41" t="s">
        <v>71</v>
      </c>
    </row>
    <row r="101" spans="1:26" ht="23" x14ac:dyDescent="0.75">
      <c r="A101" s="107"/>
      <c r="B101" s="106"/>
      <c r="C101" s="63">
        <v>98</v>
      </c>
      <c r="D101" s="108"/>
      <c r="E101" s="109"/>
      <c r="F101" s="19" t="s">
        <v>73</v>
      </c>
      <c r="G101" s="3"/>
      <c r="H101" s="5" t="s">
        <v>67</v>
      </c>
      <c r="I101" s="4">
        <v>8</v>
      </c>
      <c r="J101" s="2">
        <v>1</v>
      </c>
      <c r="K101" s="3" t="s">
        <v>19</v>
      </c>
      <c r="L101" s="3"/>
      <c r="M101" s="2">
        <v>0.1</v>
      </c>
      <c r="N101" s="4"/>
      <c r="O101" s="2">
        <v>1</v>
      </c>
      <c r="P101" s="103"/>
      <c r="Q101" s="3" t="s">
        <v>20</v>
      </c>
      <c r="R101" s="3">
        <v>50</v>
      </c>
      <c r="S101" s="3">
        <v>19.3</v>
      </c>
      <c r="T101" s="3">
        <v>28.95</v>
      </c>
      <c r="U101" s="2"/>
      <c r="V101" s="5"/>
      <c r="W101" s="68" t="s">
        <v>324</v>
      </c>
      <c r="X101" s="68" t="s">
        <v>320</v>
      </c>
      <c r="Y101" s="68" t="s">
        <v>332</v>
      </c>
      <c r="Z101" s="41" t="s">
        <v>71</v>
      </c>
    </row>
    <row r="102" spans="1:26" ht="32.5" x14ac:dyDescent="0.75">
      <c r="A102" s="42">
        <v>16</v>
      </c>
      <c r="B102" s="1" t="s">
        <v>258</v>
      </c>
      <c r="C102" s="63">
        <v>99</v>
      </c>
      <c r="D102" s="108" t="s">
        <v>394</v>
      </c>
      <c r="E102" s="109"/>
      <c r="F102" s="19" t="s">
        <v>155</v>
      </c>
      <c r="G102" s="3"/>
      <c r="H102" s="5" t="s">
        <v>156</v>
      </c>
      <c r="I102" s="4">
        <v>8</v>
      </c>
      <c r="J102" s="2">
        <v>1</v>
      </c>
      <c r="K102" s="3" t="s">
        <v>19</v>
      </c>
      <c r="L102" s="3"/>
      <c r="M102" s="2">
        <v>0.1</v>
      </c>
      <c r="N102" s="4"/>
      <c r="O102" s="2">
        <v>1</v>
      </c>
      <c r="P102" s="79" t="s">
        <v>404</v>
      </c>
      <c r="Q102" s="3" t="s">
        <v>20</v>
      </c>
      <c r="R102" s="3">
        <v>50</v>
      </c>
      <c r="S102" s="3">
        <v>18.399999999999999</v>
      </c>
      <c r="T102" s="3">
        <v>24.6</v>
      </c>
      <c r="U102" s="2"/>
      <c r="V102" s="5"/>
      <c r="W102" s="68" t="s">
        <v>334</v>
      </c>
      <c r="X102" s="68" t="s">
        <v>313</v>
      </c>
      <c r="Y102" s="68" t="s">
        <v>335</v>
      </c>
      <c r="Z102" s="41" t="s">
        <v>76</v>
      </c>
    </row>
    <row r="103" spans="1:26" ht="23" x14ac:dyDescent="0.75">
      <c r="A103" s="107">
        <v>17</v>
      </c>
      <c r="B103" s="104" t="s">
        <v>255</v>
      </c>
      <c r="C103" s="63">
        <v>100</v>
      </c>
      <c r="D103" s="108" t="s">
        <v>393</v>
      </c>
      <c r="E103" s="109"/>
      <c r="F103" s="19" t="s">
        <v>149</v>
      </c>
      <c r="G103" s="3"/>
      <c r="H103" s="5" t="s">
        <v>67</v>
      </c>
      <c r="I103" s="4">
        <v>8</v>
      </c>
      <c r="J103" s="2">
        <v>1</v>
      </c>
      <c r="K103" s="3" t="s">
        <v>19</v>
      </c>
      <c r="L103" s="3"/>
      <c r="M103" s="2">
        <v>1</v>
      </c>
      <c r="N103" s="4"/>
      <c r="O103" s="2">
        <v>1</v>
      </c>
      <c r="P103" s="101" t="s">
        <v>404</v>
      </c>
      <c r="Q103" s="3" t="s">
        <v>20</v>
      </c>
      <c r="R103" s="3">
        <v>50</v>
      </c>
      <c r="S103" s="3">
        <v>48.1</v>
      </c>
      <c r="T103" s="3">
        <v>72.150000000000006</v>
      </c>
      <c r="U103" s="2"/>
      <c r="V103" s="5"/>
      <c r="W103" s="68" t="s">
        <v>324</v>
      </c>
      <c r="X103" s="68" t="s">
        <v>313</v>
      </c>
      <c r="Y103" s="68" t="s">
        <v>331</v>
      </c>
      <c r="Z103" s="41" t="s">
        <v>150</v>
      </c>
    </row>
    <row r="104" spans="1:26" ht="34.5" x14ac:dyDescent="0.75">
      <c r="A104" s="107"/>
      <c r="B104" s="105"/>
      <c r="C104" s="63">
        <v>101</v>
      </c>
      <c r="D104" s="108"/>
      <c r="E104" s="109"/>
      <c r="F104" s="19" t="s">
        <v>153</v>
      </c>
      <c r="G104" s="3"/>
      <c r="H104" s="5" t="s">
        <v>67</v>
      </c>
      <c r="I104" s="4">
        <v>8</v>
      </c>
      <c r="J104" s="2">
        <v>1</v>
      </c>
      <c r="K104" s="3" t="s">
        <v>19</v>
      </c>
      <c r="L104" s="3"/>
      <c r="M104" s="2">
        <v>1</v>
      </c>
      <c r="N104" s="4"/>
      <c r="O104" s="2">
        <v>1</v>
      </c>
      <c r="P104" s="102"/>
      <c r="Q104" s="3" t="s">
        <v>20</v>
      </c>
      <c r="R104" s="3">
        <v>50</v>
      </c>
      <c r="S104" s="3" t="s">
        <v>89</v>
      </c>
      <c r="T104" s="3" t="s">
        <v>89</v>
      </c>
      <c r="U104" s="2"/>
      <c r="V104" s="5" t="s">
        <v>296</v>
      </c>
      <c r="W104" s="68" t="s">
        <v>324</v>
      </c>
      <c r="X104" s="68" t="s">
        <v>320</v>
      </c>
      <c r="Y104" s="68" t="s">
        <v>332</v>
      </c>
      <c r="Z104" s="41" t="s">
        <v>154</v>
      </c>
    </row>
    <row r="105" spans="1:26" ht="34.5" x14ac:dyDescent="0.75">
      <c r="A105" s="107"/>
      <c r="B105" s="106"/>
      <c r="C105" s="63">
        <v>102</v>
      </c>
      <c r="D105" s="108"/>
      <c r="E105" s="109"/>
      <c r="F105" s="19" t="s">
        <v>151</v>
      </c>
      <c r="G105" s="3"/>
      <c r="H105" s="5" t="s">
        <v>67</v>
      </c>
      <c r="I105" s="4">
        <v>8</v>
      </c>
      <c r="J105" s="2">
        <v>1</v>
      </c>
      <c r="K105" s="3" t="s">
        <v>19</v>
      </c>
      <c r="L105" s="3"/>
      <c r="M105" s="2">
        <v>1</v>
      </c>
      <c r="N105" s="4"/>
      <c r="O105" s="2">
        <v>1</v>
      </c>
      <c r="P105" s="103"/>
      <c r="Q105" s="3" t="s">
        <v>20</v>
      </c>
      <c r="R105" s="3">
        <v>50</v>
      </c>
      <c r="S105" s="3" t="s">
        <v>89</v>
      </c>
      <c r="T105" s="3" t="s">
        <v>89</v>
      </c>
      <c r="U105" s="2"/>
      <c r="V105" s="5" t="s">
        <v>296</v>
      </c>
      <c r="W105" s="68" t="s">
        <v>324</v>
      </c>
      <c r="X105" s="68" t="s">
        <v>320</v>
      </c>
      <c r="Y105" s="68" t="s">
        <v>332</v>
      </c>
      <c r="Z105" s="41" t="s">
        <v>152</v>
      </c>
    </row>
    <row r="106" spans="1:26" ht="23" x14ac:dyDescent="0.75">
      <c r="A106" s="107">
        <v>18</v>
      </c>
      <c r="B106" s="104" t="s">
        <v>257</v>
      </c>
      <c r="C106" s="63">
        <v>103</v>
      </c>
      <c r="D106" s="108" t="s">
        <v>394</v>
      </c>
      <c r="E106" s="109"/>
      <c r="F106" s="19" t="s">
        <v>158</v>
      </c>
      <c r="G106" s="3"/>
      <c r="H106" s="5" t="s">
        <v>156</v>
      </c>
      <c r="I106" s="4">
        <v>8</v>
      </c>
      <c r="J106" s="2">
        <v>1</v>
      </c>
      <c r="K106" s="3" t="s">
        <v>19</v>
      </c>
      <c r="L106" s="3"/>
      <c r="M106" s="2">
        <v>1</v>
      </c>
      <c r="N106" s="4"/>
      <c r="O106" s="2">
        <v>1</v>
      </c>
      <c r="P106" s="101" t="s">
        <v>404</v>
      </c>
      <c r="Q106" s="3" t="s">
        <v>20</v>
      </c>
      <c r="R106" s="3">
        <v>50</v>
      </c>
      <c r="S106" s="3">
        <v>48</v>
      </c>
      <c r="T106" s="3">
        <v>72</v>
      </c>
      <c r="U106" s="2"/>
      <c r="V106" s="5"/>
      <c r="W106" s="68" t="s">
        <v>355</v>
      </c>
      <c r="X106" s="68" t="s">
        <v>313</v>
      </c>
      <c r="Y106" s="68" t="s">
        <v>335</v>
      </c>
      <c r="Z106" s="41" t="s">
        <v>157</v>
      </c>
    </row>
    <row r="107" spans="1:26" ht="23" x14ac:dyDescent="0.75">
      <c r="A107" s="107"/>
      <c r="B107" s="105"/>
      <c r="C107" s="63">
        <v>104</v>
      </c>
      <c r="D107" s="108"/>
      <c r="E107" s="109"/>
      <c r="F107" s="19" t="s">
        <v>184</v>
      </c>
      <c r="G107" s="3"/>
      <c r="H107" s="5" t="s">
        <v>156</v>
      </c>
      <c r="I107" s="4">
        <v>8</v>
      </c>
      <c r="J107" s="2">
        <v>1</v>
      </c>
      <c r="K107" s="3" t="s">
        <v>19</v>
      </c>
      <c r="L107" s="3"/>
      <c r="M107" s="2">
        <v>1</v>
      </c>
      <c r="N107" s="4"/>
      <c r="O107" s="2">
        <v>1</v>
      </c>
      <c r="P107" s="102"/>
      <c r="Q107" s="3" t="s">
        <v>20</v>
      </c>
      <c r="R107" s="3">
        <v>50</v>
      </c>
      <c r="S107" s="3">
        <v>48</v>
      </c>
      <c r="T107" s="3">
        <v>72</v>
      </c>
      <c r="U107" s="2"/>
      <c r="V107" s="5"/>
      <c r="W107" s="68" t="s">
        <v>356</v>
      </c>
      <c r="X107" s="68" t="s">
        <v>313</v>
      </c>
      <c r="Y107" s="68" t="s">
        <v>335</v>
      </c>
      <c r="Z107" s="41" t="s">
        <v>143</v>
      </c>
    </row>
    <row r="108" spans="1:26" ht="23" x14ac:dyDescent="0.75">
      <c r="A108" s="107"/>
      <c r="B108" s="106"/>
      <c r="C108" s="63">
        <v>105</v>
      </c>
      <c r="D108" s="108"/>
      <c r="E108" s="109"/>
      <c r="F108" s="19" t="s">
        <v>196</v>
      </c>
      <c r="G108" s="3"/>
      <c r="H108" s="5" t="s">
        <v>156</v>
      </c>
      <c r="I108" s="4">
        <v>8</v>
      </c>
      <c r="J108" s="2">
        <v>1</v>
      </c>
      <c r="K108" s="3" t="s">
        <v>19</v>
      </c>
      <c r="L108" s="3"/>
      <c r="M108" s="2">
        <v>1</v>
      </c>
      <c r="N108" s="4"/>
      <c r="O108" s="2">
        <v>1</v>
      </c>
      <c r="P108" s="103"/>
      <c r="Q108" s="3" t="s">
        <v>20</v>
      </c>
      <c r="R108" s="3">
        <v>50</v>
      </c>
      <c r="S108" s="3">
        <v>48</v>
      </c>
      <c r="T108" s="3">
        <v>72</v>
      </c>
      <c r="U108" s="2"/>
      <c r="V108" s="5"/>
      <c r="W108" s="68" t="s">
        <v>355</v>
      </c>
      <c r="X108" s="68" t="s">
        <v>313</v>
      </c>
      <c r="Y108" s="68" t="s">
        <v>335</v>
      </c>
      <c r="Z108" s="41" t="s">
        <v>159</v>
      </c>
    </row>
    <row r="109" spans="1:26" ht="23" x14ac:dyDescent="0.75">
      <c r="A109" s="42">
        <v>19</v>
      </c>
      <c r="B109" s="1"/>
      <c r="C109" s="63">
        <v>106</v>
      </c>
      <c r="D109" s="72"/>
      <c r="E109" s="73"/>
      <c r="F109" s="19" t="s">
        <v>160</v>
      </c>
      <c r="G109" s="3"/>
      <c r="H109" s="5" t="s">
        <v>161</v>
      </c>
      <c r="I109" s="4" t="s">
        <v>245</v>
      </c>
      <c r="J109" s="2">
        <v>1</v>
      </c>
      <c r="K109" s="3" t="s">
        <v>19</v>
      </c>
      <c r="L109" s="3"/>
      <c r="M109" s="2">
        <v>1</v>
      </c>
      <c r="N109" s="4"/>
      <c r="O109" s="2">
        <v>1</v>
      </c>
      <c r="P109" s="78" t="s">
        <v>404</v>
      </c>
      <c r="Q109" s="3" t="s">
        <v>20</v>
      </c>
      <c r="R109" s="3">
        <v>50</v>
      </c>
      <c r="S109" s="3">
        <v>48</v>
      </c>
      <c r="T109" s="3">
        <f>S109*1.5</f>
        <v>72</v>
      </c>
      <c r="U109" s="2"/>
      <c r="V109" s="5"/>
      <c r="W109" s="68" t="s">
        <v>324</v>
      </c>
      <c r="X109" s="68" t="s">
        <v>313</v>
      </c>
      <c r="Y109" s="68" t="s">
        <v>332</v>
      </c>
      <c r="Z109" s="41" t="s">
        <v>162</v>
      </c>
    </row>
    <row r="110" spans="1:26" ht="21.4" customHeight="1" x14ac:dyDescent="0.75">
      <c r="A110" s="42">
        <v>20</v>
      </c>
      <c r="B110" s="1"/>
      <c r="C110" s="63">
        <v>107</v>
      </c>
      <c r="D110" s="108" t="s">
        <v>393</v>
      </c>
      <c r="E110" s="109"/>
      <c r="F110" s="19" t="s">
        <v>226</v>
      </c>
      <c r="G110" s="3"/>
      <c r="H110" s="5" t="s">
        <v>227</v>
      </c>
      <c r="I110" s="4">
        <v>8</v>
      </c>
      <c r="J110" s="2">
        <v>0.1</v>
      </c>
      <c r="K110" s="3" t="s">
        <v>19</v>
      </c>
      <c r="L110" s="3"/>
      <c r="M110" s="2">
        <v>0.1</v>
      </c>
      <c r="N110" s="4"/>
      <c r="O110" s="2">
        <v>1</v>
      </c>
      <c r="P110" s="2"/>
      <c r="Q110" s="3" t="s">
        <v>20</v>
      </c>
      <c r="R110" s="3">
        <v>50</v>
      </c>
      <c r="S110" s="3">
        <v>41</v>
      </c>
      <c r="T110" s="3">
        <v>61.5</v>
      </c>
      <c r="U110" s="2"/>
      <c r="V110" s="5"/>
      <c r="W110" s="68" t="s">
        <v>368</v>
      </c>
      <c r="X110" s="68" t="s">
        <v>359</v>
      </c>
      <c r="Y110" s="68" t="s">
        <v>371</v>
      </c>
      <c r="Z110" s="41" t="s">
        <v>372</v>
      </c>
    </row>
    <row r="111" spans="1:26" s="91" customFormat="1" ht="21.4" customHeight="1" x14ac:dyDescent="0.75">
      <c r="A111" s="116">
        <v>21</v>
      </c>
      <c r="B111" s="92"/>
      <c r="C111" s="110">
        <v>108</v>
      </c>
      <c r="D111" s="112" t="s">
        <v>393</v>
      </c>
      <c r="E111" s="113"/>
      <c r="F111" s="83" t="s">
        <v>407</v>
      </c>
      <c r="G111" s="84"/>
      <c r="H111" s="85" t="s">
        <v>67</v>
      </c>
      <c r="I111" s="86"/>
      <c r="J111" s="87"/>
      <c r="K111" s="84"/>
      <c r="L111" s="84"/>
      <c r="M111" s="87"/>
      <c r="N111" s="86"/>
      <c r="O111" s="87"/>
      <c r="P111" s="87"/>
      <c r="Q111" s="84"/>
      <c r="R111" s="84"/>
      <c r="S111" s="84"/>
      <c r="T111" s="84"/>
      <c r="U111" s="87"/>
      <c r="V111" s="85"/>
      <c r="W111" s="89"/>
      <c r="X111" s="89"/>
      <c r="Y111" s="89"/>
      <c r="Z111" s="90"/>
    </row>
    <row r="112" spans="1:26" ht="23" x14ac:dyDescent="0.75">
      <c r="A112" s="117"/>
      <c r="B112" s="1"/>
      <c r="C112" s="111"/>
      <c r="D112" s="136"/>
      <c r="E112" s="137"/>
      <c r="F112" s="19" t="s">
        <v>182</v>
      </c>
      <c r="G112" s="3"/>
      <c r="H112" s="5" t="s">
        <v>67</v>
      </c>
      <c r="I112" s="4">
        <v>8</v>
      </c>
      <c r="J112" s="2">
        <v>1</v>
      </c>
      <c r="K112" s="3" t="s">
        <v>19</v>
      </c>
      <c r="L112" s="3"/>
      <c r="M112" s="2">
        <v>1</v>
      </c>
      <c r="N112" s="4"/>
      <c r="O112" s="2">
        <v>1</v>
      </c>
      <c r="P112" s="2"/>
      <c r="Q112" s="3" t="s">
        <v>20</v>
      </c>
      <c r="R112" s="3">
        <v>50</v>
      </c>
      <c r="S112" s="3">
        <v>96.3</v>
      </c>
      <c r="T112" s="3">
        <v>144.44999999999999</v>
      </c>
      <c r="U112" s="2"/>
      <c r="V112" s="5"/>
      <c r="W112" s="68" t="s">
        <v>324</v>
      </c>
      <c r="X112" s="68" t="s">
        <v>313</v>
      </c>
      <c r="Y112" s="68" t="s">
        <v>335</v>
      </c>
      <c r="Z112" s="41" t="s">
        <v>183</v>
      </c>
    </row>
    <row r="113" spans="1:26" ht="57.5" x14ac:dyDescent="0.75">
      <c r="A113" s="107">
        <v>22</v>
      </c>
      <c r="B113" s="104" t="s">
        <v>256</v>
      </c>
      <c r="C113" s="63">
        <v>109</v>
      </c>
      <c r="D113" s="108" t="s">
        <v>394</v>
      </c>
      <c r="E113" s="109"/>
      <c r="F113" s="19" t="s">
        <v>74</v>
      </c>
      <c r="G113" s="3"/>
      <c r="H113" s="5" t="s">
        <v>75</v>
      </c>
      <c r="I113" s="4">
        <v>8</v>
      </c>
      <c r="J113" s="2">
        <v>1</v>
      </c>
      <c r="K113" s="3" t="s">
        <v>19</v>
      </c>
      <c r="L113" s="3"/>
      <c r="M113" s="2">
        <v>1</v>
      </c>
      <c r="N113" s="4"/>
      <c r="O113" s="2">
        <v>1</v>
      </c>
      <c r="P113" s="77">
        <v>0.1</v>
      </c>
      <c r="Q113" s="3" t="s">
        <v>20</v>
      </c>
      <c r="R113" s="3">
        <v>50</v>
      </c>
      <c r="S113" s="3" t="s">
        <v>89</v>
      </c>
      <c r="T113" s="3" t="s">
        <v>89</v>
      </c>
      <c r="U113" s="2"/>
      <c r="V113" s="5" t="s">
        <v>185</v>
      </c>
      <c r="W113" s="68" t="s">
        <v>355</v>
      </c>
      <c r="X113" s="68" t="s">
        <v>313</v>
      </c>
      <c r="Y113" s="68" t="s">
        <v>335</v>
      </c>
      <c r="Z113" s="41" t="s">
        <v>186</v>
      </c>
    </row>
    <row r="114" spans="1:26" ht="57.5" x14ac:dyDescent="0.75">
      <c r="A114" s="107"/>
      <c r="B114" s="105"/>
      <c r="C114" s="63">
        <v>110</v>
      </c>
      <c r="D114" s="108"/>
      <c r="E114" s="109"/>
      <c r="F114" s="19">
        <v>33056</v>
      </c>
      <c r="G114" s="3"/>
      <c r="H114" s="5" t="s">
        <v>75</v>
      </c>
      <c r="I114" s="4">
        <v>8</v>
      </c>
      <c r="J114" s="2">
        <v>1</v>
      </c>
      <c r="K114" s="3" t="s">
        <v>19</v>
      </c>
      <c r="L114" s="3"/>
      <c r="M114" s="2">
        <v>1</v>
      </c>
      <c r="N114" s="4"/>
      <c r="O114" s="2">
        <v>1</v>
      </c>
      <c r="P114" s="77">
        <v>0.1</v>
      </c>
      <c r="Q114" s="3" t="s">
        <v>20</v>
      </c>
      <c r="R114" s="3">
        <v>50</v>
      </c>
      <c r="S114" s="3" t="s">
        <v>89</v>
      </c>
      <c r="T114" s="3" t="s">
        <v>89</v>
      </c>
      <c r="U114" s="2"/>
      <c r="V114" s="5" t="s">
        <v>185</v>
      </c>
      <c r="W114" s="68" t="s">
        <v>333</v>
      </c>
      <c r="X114" s="68" t="s">
        <v>359</v>
      </c>
      <c r="Y114" s="68" t="s">
        <v>360</v>
      </c>
      <c r="Z114" s="41" t="s">
        <v>188</v>
      </c>
    </row>
    <row r="115" spans="1:26" ht="46" x14ac:dyDescent="0.75">
      <c r="A115" s="107"/>
      <c r="B115" s="106"/>
      <c r="C115" s="63">
        <v>111</v>
      </c>
      <c r="D115" s="108"/>
      <c r="E115" s="109"/>
      <c r="F115" s="19">
        <v>63055</v>
      </c>
      <c r="G115" s="3"/>
      <c r="H115" s="5" t="s">
        <v>187</v>
      </c>
      <c r="I115" s="4">
        <v>8</v>
      </c>
      <c r="J115" s="2">
        <v>1</v>
      </c>
      <c r="K115" s="3" t="s">
        <v>19</v>
      </c>
      <c r="L115" s="3"/>
      <c r="M115" s="2">
        <v>1</v>
      </c>
      <c r="N115" s="4"/>
      <c r="O115" s="2">
        <v>1</v>
      </c>
      <c r="P115" s="77">
        <v>0.1</v>
      </c>
      <c r="Q115" s="3" t="s">
        <v>20</v>
      </c>
      <c r="R115" s="3">
        <v>50</v>
      </c>
      <c r="S115" s="3" t="s">
        <v>89</v>
      </c>
      <c r="T115" s="3" t="s">
        <v>89</v>
      </c>
      <c r="U115" s="2"/>
      <c r="V115" s="5" t="s">
        <v>189</v>
      </c>
      <c r="W115" s="68" t="s">
        <v>333</v>
      </c>
      <c r="X115" s="68" t="s">
        <v>313</v>
      </c>
      <c r="Y115" s="68" t="s">
        <v>335</v>
      </c>
      <c r="Z115" s="41" t="s">
        <v>188</v>
      </c>
    </row>
    <row r="116" spans="1:26" ht="23" x14ac:dyDescent="0.75">
      <c r="A116" s="107">
        <v>23</v>
      </c>
      <c r="B116" s="104" t="s">
        <v>259</v>
      </c>
      <c r="C116" s="63">
        <v>112</v>
      </c>
      <c r="D116" s="108" t="s">
        <v>394</v>
      </c>
      <c r="E116" s="109"/>
      <c r="F116" s="19">
        <v>63056</v>
      </c>
      <c r="G116" s="3"/>
      <c r="H116" s="5" t="s">
        <v>187</v>
      </c>
      <c r="I116" s="4">
        <v>8</v>
      </c>
      <c r="J116" s="2">
        <v>1</v>
      </c>
      <c r="K116" s="3" t="s">
        <v>19</v>
      </c>
      <c r="L116" s="3"/>
      <c r="M116" s="2">
        <v>1</v>
      </c>
      <c r="N116" s="4"/>
      <c r="O116" s="2">
        <v>1</v>
      </c>
      <c r="P116" s="77">
        <v>0.1</v>
      </c>
      <c r="Q116" s="3" t="s">
        <v>20</v>
      </c>
      <c r="R116" s="3">
        <v>50</v>
      </c>
      <c r="S116" s="3">
        <v>144</v>
      </c>
      <c r="T116" s="3">
        <v>216</v>
      </c>
      <c r="U116" s="2"/>
      <c r="V116" s="5"/>
      <c r="W116" s="68" t="s">
        <v>355</v>
      </c>
      <c r="X116" s="68" t="s">
        <v>313</v>
      </c>
      <c r="Y116" s="68" t="s">
        <v>335</v>
      </c>
      <c r="Z116" s="41" t="s">
        <v>188</v>
      </c>
    </row>
    <row r="117" spans="1:26" ht="34.5" x14ac:dyDescent="0.75">
      <c r="A117" s="107"/>
      <c r="B117" s="106"/>
      <c r="C117" s="63">
        <v>113</v>
      </c>
      <c r="D117" s="108"/>
      <c r="E117" s="109"/>
      <c r="F117" s="19">
        <v>93056</v>
      </c>
      <c r="G117" s="3"/>
      <c r="H117" s="5" t="s">
        <v>75</v>
      </c>
      <c r="I117" s="4">
        <v>8</v>
      </c>
      <c r="J117" s="2">
        <v>1</v>
      </c>
      <c r="K117" s="3" t="s">
        <v>19</v>
      </c>
      <c r="L117" s="3"/>
      <c r="M117" s="2">
        <v>1</v>
      </c>
      <c r="N117" s="4"/>
      <c r="O117" s="2">
        <v>1</v>
      </c>
      <c r="P117" s="77">
        <v>0.1</v>
      </c>
      <c r="Q117" s="3" t="s">
        <v>20</v>
      </c>
      <c r="R117" s="3">
        <v>50</v>
      </c>
      <c r="S117" s="3">
        <v>144</v>
      </c>
      <c r="T117" s="3">
        <v>216</v>
      </c>
      <c r="U117" s="2"/>
      <c r="V117" s="5"/>
      <c r="W117" s="68" t="s">
        <v>333</v>
      </c>
      <c r="X117" s="68" t="s">
        <v>313</v>
      </c>
      <c r="Y117" s="68" t="s">
        <v>335</v>
      </c>
      <c r="Z117" s="41" t="s">
        <v>188</v>
      </c>
    </row>
    <row r="118" spans="1:26" ht="21.75" customHeight="1" x14ac:dyDescent="0.75">
      <c r="A118" s="107">
        <v>24</v>
      </c>
      <c r="B118" s="1"/>
      <c r="C118" s="63">
        <v>114</v>
      </c>
      <c r="D118" s="108" t="s">
        <v>393</v>
      </c>
      <c r="E118" s="109"/>
      <c r="F118" s="19">
        <v>153020</v>
      </c>
      <c r="G118" s="3"/>
      <c r="H118" s="5" t="s">
        <v>67</v>
      </c>
      <c r="I118" s="4">
        <v>8</v>
      </c>
      <c r="J118" s="2">
        <v>1</v>
      </c>
      <c r="K118" s="3" t="s">
        <v>19</v>
      </c>
      <c r="L118" s="3"/>
      <c r="M118" s="2">
        <v>1</v>
      </c>
      <c r="N118" s="4"/>
      <c r="O118" s="2">
        <v>1</v>
      </c>
      <c r="P118" s="77">
        <v>0.1</v>
      </c>
      <c r="Q118" s="3" t="s">
        <v>20</v>
      </c>
      <c r="R118" s="3">
        <v>50</v>
      </c>
      <c r="S118" s="3">
        <v>228</v>
      </c>
      <c r="T118" s="3">
        <v>342</v>
      </c>
      <c r="U118" s="2"/>
      <c r="V118" s="5"/>
      <c r="W118" s="68" t="s">
        <v>324</v>
      </c>
      <c r="X118" s="68" t="s">
        <v>313</v>
      </c>
      <c r="Y118" s="68" t="s">
        <v>332</v>
      </c>
      <c r="Z118" s="41" t="s">
        <v>207</v>
      </c>
    </row>
    <row r="119" spans="1:26" ht="23" x14ac:dyDescent="0.75">
      <c r="A119" s="107"/>
      <c r="B119" s="1"/>
      <c r="C119" s="63">
        <v>115</v>
      </c>
      <c r="D119" s="108"/>
      <c r="E119" s="109"/>
      <c r="F119" s="19" t="s">
        <v>208</v>
      </c>
      <c r="G119" s="3"/>
      <c r="H119" s="5" t="s">
        <v>67</v>
      </c>
      <c r="I119" s="4">
        <v>8</v>
      </c>
      <c r="J119" s="2">
        <v>1</v>
      </c>
      <c r="K119" s="3" t="s">
        <v>19</v>
      </c>
      <c r="L119" s="3"/>
      <c r="M119" s="2">
        <v>1</v>
      </c>
      <c r="N119" s="4"/>
      <c r="O119" s="2">
        <v>1</v>
      </c>
      <c r="P119" s="77">
        <v>0.1</v>
      </c>
      <c r="Q119" s="3" t="s">
        <v>20</v>
      </c>
      <c r="R119" s="3">
        <v>50</v>
      </c>
      <c r="S119" s="3">
        <v>228</v>
      </c>
      <c r="T119" s="3">
        <v>342</v>
      </c>
      <c r="U119" s="2"/>
      <c r="V119" s="5"/>
      <c r="W119" s="68" t="s">
        <v>347</v>
      </c>
      <c r="X119" s="68" t="s">
        <v>313</v>
      </c>
      <c r="Y119" s="68" t="s">
        <v>332</v>
      </c>
      <c r="Z119" s="41" t="s">
        <v>159</v>
      </c>
    </row>
    <row r="120" spans="1:26" x14ac:dyDescent="0.75">
      <c r="A120" s="42">
        <v>25</v>
      </c>
      <c r="B120" s="1"/>
      <c r="C120" s="63">
        <v>116</v>
      </c>
      <c r="D120" s="108" t="s">
        <v>393</v>
      </c>
      <c r="E120" s="109"/>
      <c r="F120" s="19">
        <v>253020</v>
      </c>
      <c r="G120" s="3"/>
      <c r="H120" s="5" t="s">
        <v>67</v>
      </c>
      <c r="I120" s="4">
        <v>8</v>
      </c>
      <c r="J120" s="2">
        <v>1</v>
      </c>
      <c r="K120" s="3" t="s">
        <v>19</v>
      </c>
      <c r="L120" s="3"/>
      <c r="M120" s="2">
        <v>1</v>
      </c>
      <c r="N120" s="4"/>
      <c r="O120" s="2">
        <v>1</v>
      </c>
      <c r="P120" s="77">
        <v>0.1</v>
      </c>
      <c r="Q120" s="3" t="s">
        <v>20</v>
      </c>
      <c r="R120" s="3">
        <v>50</v>
      </c>
      <c r="S120" s="3">
        <v>401</v>
      </c>
      <c r="T120" s="3">
        <v>601.5</v>
      </c>
      <c r="U120" s="2"/>
      <c r="V120" s="5"/>
      <c r="W120" s="68" t="s">
        <v>368</v>
      </c>
      <c r="X120" s="68" t="s">
        <v>313</v>
      </c>
      <c r="Y120" s="68" t="s">
        <v>332</v>
      </c>
      <c r="Z120" s="41" t="s">
        <v>369</v>
      </c>
    </row>
    <row r="121" spans="1:26" ht="34.5" x14ac:dyDescent="0.75">
      <c r="A121" s="42">
        <v>26</v>
      </c>
      <c r="B121" s="1"/>
      <c r="C121" s="63">
        <v>117</v>
      </c>
      <c r="D121" s="108" t="s">
        <v>394</v>
      </c>
      <c r="E121" s="109"/>
      <c r="F121" s="19">
        <v>253055</v>
      </c>
      <c r="G121" s="3"/>
      <c r="H121" s="5" t="s">
        <v>75</v>
      </c>
      <c r="I121" s="4">
        <v>8</v>
      </c>
      <c r="J121" s="2">
        <v>1</v>
      </c>
      <c r="K121" s="3" t="s">
        <v>19</v>
      </c>
      <c r="L121" s="3"/>
      <c r="M121" s="2">
        <v>1</v>
      </c>
      <c r="N121" s="4"/>
      <c r="O121" s="2">
        <v>1</v>
      </c>
      <c r="P121" s="77">
        <v>0.1</v>
      </c>
      <c r="Q121" s="3" t="s">
        <v>20</v>
      </c>
      <c r="R121" s="3">
        <v>50</v>
      </c>
      <c r="S121" s="3">
        <v>282</v>
      </c>
      <c r="T121" s="3">
        <v>423</v>
      </c>
      <c r="U121" s="2"/>
      <c r="V121" s="5"/>
      <c r="W121" s="68" t="s">
        <v>333</v>
      </c>
      <c r="X121" s="68" t="s">
        <v>359</v>
      </c>
      <c r="Y121" s="68" t="s">
        <v>360</v>
      </c>
      <c r="Z121" s="41" t="s">
        <v>363</v>
      </c>
    </row>
    <row r="122" spans="1:26" ht="23" x14ac:dyDescent="0.75">
      <c r="A122" s="42">
        <v>27</v>
      </c>
      <c r="B122" s="1"/>
      <c r="C122" s="63">
        <v>118</v>
      </c>
      <c r="D122" s="72"/>
      <c r="E122" s="73"/>
      <c r="F122" s="19" t="s">
        <v>213</v>
      </c>
      <c r="G122" s="3"/>
      <c r="H122" s="5" t="s">
        <v>214</v>
      </c>
      <c r="I122" s="4" t="s">
        <v>245</v>
      </c>
      <c r="J122" s="2">
        <v>1</v>
      </c>
      <c r="K122" s="3" t="s">
        <v>19</v>
      </c>
      <c r="L122" s="3"/>
      <c r="M122" s="2">
        <v>1</v>
      </c>
      <c r="N122" s="4"/>
      <c r="O122" s="2">
        <v>1</v>
      </c>
      <c r="P122" s="77">
        <v>0.1</v>
      </c>
      <c r="Q122" s="3" t="s">
        <v>20</v>
      </c>
      <c r="R122" s="3">
        <v>50</v>
      </c>
      <c r="S122" s="3">
        <v>401</v>
      </c>
      <c r="T122" s="3">
        <f t="shared" ref="T122:T141" si="4">S122*1.5</f>
        <v>601.5</v>
      </c>
      <c r="U122" s="2"/>
      <c r="V122" s="5"/>
      <c r="W122" s="68" t="s">
        <v>324</v>
      </c>
      <c r="X122" s="68" t="s">
        <v>313</v>
      </c>
      <c r="Y122" s="68" t="s">
        <v>332</v>
      </c>
      <c r="Z122" s="41" t="s">
        <v>375</v>
      </c>
    </row>
    <row r="123" spans="1:26" ht="23" x14ac:dyDescent="0.75">
      <c r="A123" s="107">
        <v>28</v>
      </c>
      <c r="B123" s="1" t="s">
        <v>249</v>
      </c>
      <c r="C123" s="63">
        <v>119</v>
      </c>
      <c r="D123" s="108" t="s">
        <v>395</v>
      </c>
      <c r="E123" s="109"/>
      <c r="F123" s="19" t="s">
        <v>146</v>
      </c>
      <c r="G123" s="3"/>
      <c r="H123" s="5" t="s">
        <v>147</v>
      </c>
      <c r="I123" s="4">
        <v>4</v>
      </c>
      <c r="J123" s="2">
        <v>1</v>
      </c>
      <c r="K123" s="3" t="s">
        <v>19</v>
      </c>
      <c r="L123" s="2">
        <v>0.1</v>
      </c>
      <c r="M123" s="3"/>
      <c r="N123" s="7">
        <v>1</v>
      </c>
      <c r="O123" s="2">
        <v>1</v>
      </c>
      <c r="P123" s="2"/>
      <c r="Q123" s="3" t="s">
        <v>20</v>
      </c>
      <c r="R123" s="3">
        <v>50</v>
      </c>
      <c r="S123" s="3">
        <v>51.7</v>
      </c>
      <c r="T123" s="3">
        <f t="shared" si="4"/>
        <v>77.550000000000011</v>
      </c>
      <c r="U123" s="3" t="s">
        <v>20</v>
      </c>
      <c r="V123" s="5"/>
      <c r="W123" s="68" t="s">
        <v>348</v>
      </c>
      <c r="X123" s="68" t="s">
        <v>329</v>
      </c>
      <c r="Y123" s="68" t="s">
        <v>354</v>
      </c>
      <c r="Z123" s="41" t="s">
        <v>148</v>
      </c>
    </row>
    <row r="124" spans="1:26" ht="34.5" x14ac:dyDescent="0.75">
      <c r="A124" s="107"/>
      <c r="B124" s="1" t="s">
        <v>260</v>
      </c>
      <c r="C124" s="63">
        <v>120</v>
      </c>
      <c r="D124" s="108"/>
      <c r="E124" s="109"/>
      <c r="F124" s="19" t="s">
        <v>222</v>
      </c>
      <c r="G124" s="3"/>
      <c r="H124" s="5" t="s">
        <v>147</v>
      </c>
      <c r="I124" s="4">
        <v>4</v>
      </c>
      <c r="J124" s="2">
        <v>1</v>
      </c>
      <c r="K124" s="3" t="s">
        <v>19</v>
      </c>
      <c r="L124" s="2">
        <v>0.1</v>
      </c>
      <c r="M124" s="3"/>
      <c r="N124" s="7">
        <v>1</v>
      </c>
      <c r="O124" s="2">
        <v>1</v>
      </c>
      <c r="P124" s="2"/>
      <c r="Q124" s="3" t="s">
        <v>20</v>
      </c>
      <c r="R124" s="3">
        <v>50</v>
      </c>
      <c r="S124" s="3">
        <v>42</v>
      </c>
      <c r="T124" s="3">
        <f t="shared" si="4"/>
        <v>63</v>
      </c>
      <c r="U124" s="3" t="s">
        <v>20</v>
      </c>
      <c r="V124" s="5"/>
      <c r="W124" s="68" t="s">
        <v>370</v>
      </c>
      <c r="X124" s="68" t="s">
        <v>329</v>
      </c>
      <c r="Y124" s="68" t="s">
        <v>366</v>
      </c>
      <c r="Z124" s="41" t="s">
        <v>301</v>
      </c>
    </row>
    <row r="125" spans="1:26" ht="23" x14ac:dyDescent="0.75">
      <c r="A125" s="107">
        <v>29</v>
      </c>
      <c r="B125" s="104" t="s">
        <v>253</v>
      </c>
      <c r="C125" s="63">
        <v>121</v>
      </c>
      <c r="D125" s="108"/>
      <c r="E125" s="109"/>
      <c r="F125" s="19" t="s">
        <v>177</v>
      </c>
      <c r="G125" s="3"/>
      <c r="H125" s="5" t="s">
        <v>147</v>
      </c>
      <c r="I125" s="4">
        <v>4</v>
      </c>
      <c r="J125" s="2">
        <v>1</v>
      </c>
      <c r="K125" s="3" t="s">
        <v>19</v>
      </c>
      <c r="L125" s="2">
        <v>0.1</v>
      </c>
      <c r="M125" s="3"/>
      <c r="N125" s="7">
        <v>1</v>
      </c>
      <c r="O125" s="2">
        <v>1</v>
      </c>
      <c r="P125" s="2"/>
      <c r="Q125" s="3" t="s">
        <v>20</v>
      </c>
      <c r="R125" s="3">
        <v>50</v>
      </c>
      <c r="S125" s="3">
        <v>102.3</v>
      </c>
      <c r="T125" s="3">
        <f t="shared" si="4"/>
        <v>153.44999999999999</v>
      </c>
      <c r="U125" s="3" t="s">
        <v>20</v>
      </c>
      <c r="V125" s="5"/>
      <c r="W125" s="68" t="s">
        <v>348</v>
      </c>
      <c r="X125" s="68" t="s">
        <v>329</v>
      </c>
      <c r="Y125" s="68" t="s">
        <v>353</v>
      </c>
      <c r="Z125" s="41" t="s">
        <v>178</v>
      </c>
    </row>
    <row r="126" spans="1:26" ht="23" x14ac:dyDescent="0.75">
      <c r="A126" s="107"/>
      <c r="B126" s="106"/>
      <c r="C126" s="63">
        <v>122</v>
      </c>
      <c r="D126" s="108"/>
      <c r="E126" s="109"/>
      <c r="F126" s="19" t="s">
        <v>181</v>
      </c>
      <c r="G126" s="3"/>
      <c r="H126" s="5" t="s">
        <v>147</v>
      </c>
      <c r="I126" s="4">
        <v>4</v>
      </c>
      <c r="J126" s="2">
        <v>1</v>
      </c>
      <c r="K126" s="3" t="s">
        <v>19</v>
      </c>
      <c r="L126" s="2">
        <v>0.1</v>
      </c>
      <c r="M126" s="3"/>
      <c r="N126" s="7">
        <v>1</v>
      </c>
      <c r="O126" s="2">
        <v>1</v>
      </c>
      <c r="P126" s="2"/>
      <c r="Q126" s="3" t="s">
        <v>20</v>
      </c>
      <c r="R126" s="3">
        <v>50</v>
      </c>
      <c r="S126" s="3">
        <v>102.3</v>
      </c>
      <c r="T126" s="3">
        <f t="shared" si="4"/>
        <v>153.44999999999999</v>
      </c>
      <c r="U126" s="3" t="s">
        <v>20</v>
      </c>
      <c r="V126" s="5"/>
      <c r="W126" s="68" t="s">
        <v>348</v>
      </c>
      <c r="X126" s="68" t="s">
        <v>329</v>
      </c>
      <c r="Y126" s="68" t="s">
        <v>354</v>
      </c>
      <c r="Z126" s="41" t="s">
        <v>180</v>
      </c>
    </row>
    <row r="127" spans="1:26" x14ac:dyDescent="0.75">
      <c r="A127" s="42">
        <v>30</v>
      </c>
      <c r="B127" s="1" t="s">
        <v>252</v>
      </c>
      <c r="C127" s="63">
        <v>123</v>
      </c>
      <c r="D127" s="108" t="s">
        <v>396</v>
      </c>
      <c r="E127" s="109"/>
      <c r="F127" s="19">
        <v>62060</v>
      </c>
      <c r="G127" s="3"/>
      <c r="H127" s="5" t="s">
        <v>179</v>
      </c>
      <c r="I127" s="4" t="s">
        <v>246</v>
      </c>
      <c r="J127" s="2">
        <v>1</v>
      </c>
      <c r="K127" s="3" t="s">
        <v>19</v>
      </c>
      <c r="L127" s="2">
        <v>0.1</v>
      </c>
      <c r="M127" s="3"/>
      <c r="N127" s="7">
        <v>1</v>
      </c>
      <c r="O127" s="2">
        <v>1</v>
      </c>
      <c r="P127" s="2"/>
      <c r="Q127" s="3" t="s">
        <v>20</v>
      </c>
      <c r="R127" s="3">
        <v>50</v>
      </c>
      <c r="S127" s="3">
        <v>98</v>
      </c>
      <c r="T127" s="3">
        <f t="shared" si="4"/>
        <v>147</v>
      </c>
      <c r="U127" s="3" t="s">
        <v>20</v>
      </c>
      <c r="V127" s="5"/>
      <c r="W127" s="68" t="s">
        <v>19</v>
      </c>
      <c r="X127" s="68" t="s">
        <v>329</v>
      </c>
      <c r="Y127" s="68" t="s">
        <v>358</v>
      </c>
      <c r="Z127" s="41" t="s">
        <v>180</v>
      </c>
    </row>
    <row r="128" spans="1:26" x14ac:dyDescent="0.75">
      <c r="A128" s="107">
        <v>31</v>
      </c>
      <c r="B128" s="104" t="s">
        <v>251</v>
      </c>
      <c r="C128" s="63">
        <v>124</v>
      </c>
      <c r="D128" s="108" t="s">
        <v>397</v>
      </c>
      <c r="E128" s="109"/>
      <c r="F128" s="19" t="s">
        <v>63</v>
      </c>
      <c r="G128" s="3"/>
      <c r="H128" s="5" t="s">
        <v>64</v>
      </c>
      <c r="I128" s="4" t="s">
        <v>244</v>
      </c>
      <c r="J128" s="2">
        <v>1</v>
      </c>
      <c r="K128" s="3" t="s">
        <v>19</v>
      </c>
      <c r="L128" s="2">
        <v>1</v>
      </c>
      <c r="M128" s="3" t="s">
        <v>19</v>
      </c>
      <c r="N128" s="7">
        <v>1</v>
      </c>
      <c r="O128" s="2">
        <v>1</v>
      </c>
      <c r="P128" s="2"/>
      <c r="Q128" s="3" t="s">
        <v>20</v>
      </c>
      <c r="R128" s="3">
        <v>50</v>
      </c>
      <c r="S128" s="3">
        <v>19.3</v>
      </c>
      <c r="T128" s="3">
        <f t="shared" si="4"/>
        <v>28.950000000000003</v>
      </c>
      <c r="U128" s="3" t="s">
        <v>20</v>
      </c>
      <c r="V128" s="5"/>
      <c r="W128" s="68" t="s">
        <v>324</v>
      </c>
      <c r="X128" s="68" t="s">
        <v>329</v>
      </c>
      <c r="Y128" s="68" t="s">
        <v>330</v>
      </c>
      <c r="Z128" s="41" t="s">
        <v>54</v>
      </c>
    </row>
    <row r="129" spans="1:26" ht="23" x14ac:dyDescent="0.75">
      <c r="A129" s="107"/>
      <c r="B129" s="106"/>
      <c r="C129" s="63">
        <v>125</v>
      </c>
      <c r="D129" s="108"/>
      <c r="E129" s="109"/>
      <c r="F129" s="19" t="s">
        <v>65</v>
      </c>
      <c r="G129" s="3"/>
      <c r="H129" s="5" t="s">
        <v>64</v>
      </c>
      <c r="I129" s="4" t="s">
        <v>244</v>
      </c>
      <c r="J129" s="2">
        <v>1</v>
      </c>
      <c r="K129" s="3" t="s">
        <v>19</v>
      </c>
      <c r="L129" s="2">
        <v>1</v>
      </c>
      <c r="M129" s="3" t="s">
        <v>19</v>
      </c>
      <c r="N129" s="7">
        <v>1</v>
      </c>
      <c r="O129" s="2">
        <v>1</v>
      </c>
      <c r="P129" s="2"/>
      <c r="Q129" s="3" t="s">
        <v>20</v>
      </c>
      <c r="R129" s="3">
        <v>50</v>
      </c>
      <c r="S129" s="3">
        <v>19.3</v>
      </c>
      <c r="T129" s="3">
        <f t="shared" si="4"/>
        <v>28.950000000000003</v>
      </c>
      <c r="U129" s="3" t="s">
        <v>20</v>
      </c>
      <c r="V129" s="5"/>
      <c r="W129" s="68" t="s">
        <v>324</v>
      </c>
      <c r="X129" s="68" t="s">
        <v>329</v>
      </c>
      <c r="Y129" s="68" t="s">
        <v>330</v>
      </c>
      <c r="Z129" s="41" t="s">
        <v>56</v>
      </c>
    </row>
    <row r="130" spans="1:26" x14ac:dyDescent="0.75">
      <c r="A130" s="107">
        <v>32</v>
      </c>
      <c r="B130" s="104" t="s">
        <v>250</v>
      </c>
      <c r="C130" s="63">
        <v>126</v>
      </c>
      <c r="D130" s="108"/>
      <c r="E130" s="109"/>
      <c r="F130" s="19" t="s">
        <v>139</v>
      </c>
      <c r="G130" s="3"/>
      <c r="H130" s="5" t="s">
        <v>64</v>
      </c>
      <c r="I130" s="4" t="s">
        <v>244</v>
      </c>
      <c r="J130" s="2">
        <v>1</v>
      </c>
      <c r="K130" s="3" t="s">
        <v>19</v>
      </c>
      <c r="L130" s="77">
        <v>1</v>
      </c>
      <c r="M130" s="3"/>
      <c r="N130" s="7">
        <v>1</v>
      </c>
      <c r="O130" s="2">
        <v>1</v>
      </c>
      <c r="P130" s="2"/>
      <c r="Q130" s="3" t="s">
        <v>20</v>
      </c>
      <c r="R130" s="3">
        <v>50</v>
      </c>
      <c r="S130" s="3">
        <v>51.7</v>
      </c>
      <c r="T130" s="3">
        <f t="shared" si="4"/>
        <v>77.550000000000011</v>
      </c>
      <c r="U130" s="3" t="s">
        <v>20</v>
      </c>
      <c r="V130" s="5"/>
      <c r="W130" s="68" t="s">
        <v>324</v>
      </c>
      <c r="X130" s="68" t="s">
        <v>329</v>
      </c>
      <c r="Y130" s="68" t="s">
        <v>330</v>
      </c>
      <c r="Z130" s="41" t="s">
        <v>140</v>
      </c>
    </row>
    <row r="131" spans="1:26" x14ac:dyDescent="0.75">
      <c r="A131" s="107"/>
      <c r="B131" s="105"/>
      <c r="C131" s="63">
        <v>127</v>
      </c>
      <c r="D131" s="108"/>
      <c r="E131" s="109"/>
      <c r="F131" s="19" t="s">
        <v>141</v>
      </c>
      <c r="G131" s="3"/>
      <c r="H131" s="5" t="s">
        <v>64</v>
      </c>
      <c r="I131" s="4" t="s">
        <v>244</v>
      </c>
      <c r="J131" s="2">
        <v>1</v>
      </c>
      <c r="K131" s="3" t="s">
        <v>19</v>
      </c>
      <c r="L131" s="77">
        <v>1</v>
      </c>
      <c r="M131" s="3"/>
      <c r="N131" s="7">
        <v>1</v>
      </c>
      <c r="O131" s="2">
        <v>1</v>
      </c>
      <c r="P131" s="2"/>
      <c r="Q131" s="3" t="s">
        <v>20</v>
      </c>
      <c r="R131" s="3">
        <v>50</v>
      </c>
      <c r="S131" s="3">
        <v>51.7</v>
      </c>
      <c r="T131" s="3">
        <f t="shared" si="4"/>
        <v>77.550000000000011</v>
      </c>
      <c r="U131" s="3" t="s">
        <v>20</v>
      </c>
      <c r="V131" s="5"/>
      <c r="W131" s="68" t="s">
        <v>324</v>
      </c>
      <c r="X131" s="68" t="s">
        <v>329</v>
      </c>
      <c r="Y131" s="68" t="s">
        <v>330</v>
      </c>
      <c r="Z131" s="41" t="s">
        <v>54</v>
      </c>
    </row>
    <row r="132" spans="1:26" ht="23" x14ac:dyDescent="0.75">
      <c r="A132" s="107"/>
      <c r="B132" s="105"/>
      <c r="C132" s="63">
        <v>128</v>
      </c>
      <c r="D132" s="108"/>
      <c r="E132" s="109"/>
      <c r="F132" s="19" t="s">
        <v>142</v>
      </c>
      <c r="G132" s="3"/>
      <c r="H132" s="5" t="s">
        <v>64</v>
      </c>
      <c r="I132" s="4" t="s">
        <v>244</v>
      </c>
      <c r="J132" s="2">
        <v>1</v>
      </c>
      <c r="K132" s="3" t="s">
        <v>19</v>
      </c>
      <c r="L132" s="77">
        <v>1</v>
      </c>
      <c r="M132" s="3"/>
      <c r="N132" s="7">
        <v>1</v>
      </c>
      <c r="O132" s="2">
        <v>1</v>
      </c>
      <c r="P132" s="2"/>
      <c r="Q132" s="3" t="s">
        <v>20</v>
      </c>
      <c r="R132" s="3">
        <v>50</v>
      </c>
      <c r="S132" s="3">
        <v>51.7</v>
      </c>
      <c r="T132" s="3">
        <f t="shared" si="4"/>
        <v>77.550000000000011</v>
      </c>
      <c r="U132" s="3" t="s">
        <v>20</v>
      </c>
      <c r="V132" s="5"/>
      <c r="W132" s="68" t="s">
        <v>324</v>
      </c>
      <c r="X132" s="68" t="s">
        <v>329</v>
      </c>
      <c r="Y132" s="68" t="s">
        <v>330</v>
      </c>
      <c r="Z132" s="41" t="s">
        <v>143</v>
      </c>
    </row>
    <row r="133" spans="1:26" x14ac:dyDescent="0.75">
      <c r="A133" s="107"/>
      <c r="B133" s="106"/>
      <c r="C133" s="63">
        <v>129</v>
      </c>
      <c r="D133" s="108"/>
      <c r="E133" s="109"/>
      <c r="F133" s="19" t="s">
        <v>144</v>
      </c>
      <c r="G133" s="3"/>
      <c r="H133" s="5" t="s">
        <v>64</v>
      </c>
      <c r="I133" s="4" t="s">
        <v>244</v>
      </c>
      <c r="J133" s="2">
        <v>1</v>
      </c>
      <c r="K133" s="3" t="s">
        <v>19</v>
      </c>
      <c r="L133" s="77">
        <v>1</v>
      </c>
      <c r="M133" s="3"/>
      <c r="N133" s="7">
        <v>1</v>
      </c>
      <c r="O133" s="2">
        <v>1</v>
      </c>
      <c r="P133" s="2"/>
      <c r="Q133" s="3" t="s">
        <v>20</v>
      </c>
      <c r="R133" s="3">
        <v>50</v>
      </c>
      <c r="S133" s="3">
        <v>51.7</v>
      </c>
      <c r="T133" s="3">
        <f t="shared" si="4"/>
        <v>77.550000000000011</v>
      </c>
      <c r="U133" s="3" t="s">
        <v>20</v>
      </c>
      <c r="V133" s="5"/>
      <c r="W133" s="68" t="s">
        <v>324</v>
      </c>
      <c r="X133" s="68" t="s">
        <v>329</v>
      </c>
      <c r="Y133" s="68" t="s">
        <v>353</v>
      </c>
      <c r="Z133" s="41" t="s">
        <v>145</v>
      </c>
    </row>
    <row r="134" spans="1:26" x14ac:dyDescent="0.75">
      <c r="A134" s="42">
        <v>33</v>
      </c>
      <c r="B134" s="1"/>
      <c r="C134" s="63">
        <v>130</v>
      </c>
      <c r="D134" s="108"/>
      <c r="E134" s="109"/>
      <c r="F134" s="19">
        <v>62040</v>
      </c>
      <c r="G134" s="3"/>
      <c r="H134" s="5" t="s">
        <v>64</v>
      </c>
      <c r="I134" s="4" t="s">
        <v>244</v>
      </c>
      <c r="J134" s="2">
        <v>1</v>
      </c>
      <c r="K134" s="3" t="s">
        <v>19</v>
      </c>
      <c r="L134" s="77">
        <v>1</v>
      </c>
      <c r="M134" s="3"/>
      <c r="N134" s="7">
        <v>1</v>
      </c>
      <c r="O134" s="2">
        <v>1</v>
      </c>
      <c r="P134" s="2"/>
      <c r="Q134" s="3" t="s">
        <v>20</v>
      </c>
      <c r="R134" s="3">
        <v>50</v>
      </c>
      <c r="S134" s="3">
        <v>103.4</v>
      </c>
      <c r="T134" s="3">
        <f t="shared" si="4"/>
        <v>155.10000000000002</v>
      </c>
      <c r="U134" s="3" t="s">
        <v>20</v>
      </c>
      <c r="V134" s="5"/>
      <c r="W134" s="68" t="s">
        <v>324</v>
      </c>
      <c r="X134" s="68" t="s">
        <v>329</v>
      </c>
      <c r="Y134" s="68" t="s">
        <v>330</v>
      </c>
      <c r="Z134" s="41" t="s">
        <v>54</v>
      </c>
    </row>
    <row r="135" spans="1:26" ht="23" x14ac:dyDescent="0.3">
      <c r="A135" s="43">
        <v>34</v>
      </c>
      <c r="B135" s="1"/>
      <c r="C135" s="63">
        <v>131</v>
      </c>
      <c r="D135" s="108" t="s">
        <v>398</v>
      </c>
      <c r="E135" s="109"/>
      <c r="F135" s="19" t="s">
        <v>211</v>
      </c>
      <c r="G135" s="3"/>
      <c r="H135" s="5" t="s">
        <v>212</v>
      </c>
      <c r="I135" s="4">
        <v>91</v>
      </c>
      <c r="J135" s="2">
        <v>1</v>
      </c>
      <c r="K135" s="3" t="s">
        <v>19</v>
      </c>
      <c r="L135" s="77">
        <v>1</v>
      </c>
      <c r="M135" s="3"/>
      <c r="N135" s="7">
        <v>1</v>
      </c>
      <c r="O135" s="2">
        <v>1</v>
      </c>
      <c r="P135" s="2"/>
      <c r="Q135" s="3" t="s">
        <v>20</v>
      </c>
      <c r="R135" s="3">
        <v>50</v>
      </c>
      <c r="S135" s="3">
        <v>207</v>
      </c>
      <c r="T135" s="3">
        <f t="shared" si="4"/>
        <v>310.5</v>
      </c>
      <c r="U135" s="3" t="s">
        <v>20</v>
      </c>
      <c r="V135" s="5"/>
      <c r="W135" s="68" t="s">
        <v>365</v>
      </c>
      <c r="X135" s="68" t="s">
        <v>329</v>
      </c>
      <c r="Y135" s="68" t="s">
        <v>366</v>
      </c>
      <c r="Z135" s="41" t="s">
        <v>367</v>
      </c>
    </row>
    <row r="136" spans="1:26" x14ac:dyDescent="0.75">
      <c r="A136" s="42">
        <v>35</v>
      </c>
      <c r="B136" s="1"/>
      <c r="C136" s="63">
        <v>132</v>
      </c>
      <c r="D136" s="108" t="s">
        <v>399</v>
      </c>
      <c r="E136" s="109"/>
      <c r="F136" s="19">
        <v>16020</v>
      </c>
      <c r="G136" s="3"/>
      <c r="H136" s="5" t="s">
        <v>77</v>
      </c>
      <c r="I136" s="4">
        <v>42</v>
      </c>
      <c r="J136" s="2">
        <v>0.05</v>
      </c>
      <c r="K136" s="3" t="s">
        <v>19</v>
      </c>
      <c r="L136" s="3"/>
      <c r="M136" s="2">
        <v>0.05</v>
      </c>
      <c r="N136" s="4"/>
      <c r="O136" s="2">
        <v>1</v>
      </c>
      <c r="P136" s="2"/>
      <c r="Q136" s="3" t="s">
        <v>20</v>
      </c>
      <c r="R136" s="3">
        <v>50</v>
      </c>
      <c r="S136" s="3">
        <v>11.5</v>
      </c>
      <c r="T136" s="3">
        <f t="shared" si="4"/>
        <v>17.25</v>
      </c>
      <c r="U136" s="2"/>
      <c r="V136" s="5"/>
      <c r="W136" s="68" t="s">
        <v>336</v>
      </c>
      <c r="X136" s="68" t="s">
        <v>313</v>
      </c>
      <c r="Y136" s="68" t="s">
        <v>337</v>
      </c>
      <c r="Z136" s="41" t="s">
        <v>78</v>
      </c>
    </row>
    <row r="137" spans="1:26" x14ac:dyDescent="0.75">
      <c r="A137" s="42">
        <v>36</v>
      </c>
      <c r="B137" s="1" t="s">
        <v>254</v>
      </c>
      <c r="C137" s="63">
        <v>133</v>
      </c>
      <c r="D137" s="108" t="s">
        <v>400</v>
      </c>
      <c r="E137" s="109"/>
      <c r="F137" s="19" t="s">
        <v>217</v>
      </c>
      <c r="G137" s="3"/>
      <c r="H137" s="5" t="s">
        <v>218</v>
      </c>
      <c r="I137" s="4">
        <v>43</v>
      </c>
      <c r="J137" s="2">
        <v>0.05</v>
      </c>
      <c r="K137" s="3" t="s">
        <v>19</v>
      </c>
      <c r="L137" s="3"/>
      <c r="M137" s="2">
        <v>0.05</v>
      </c>
      <c r="N137" s="4"/>
      <c r="O137" s="2">
        <v>1</v>
      </c>
      <c r="P137" s="2"/>
      <c r="Q137" s="3" t="s">
        <v>20</v>
      </c>
      <c r="R137" s="3">
        <v>50</v>
      </c>
      <c r="S137" s="3">
        <v>5.4</v>
      </c>
      <c r="T137" s="3">
        <f t="shared" si="4"/>
        <v>8.1000000000000014</v>
      </c>
      <c r="U137" s="2"/>
      <c r="V137" s="5"/>
      <c r="W137" s="68" t="s">
        <v>373</v>
      </c>
      <c r="X137" s="68" t="s">
        <v>329</v>
      </c>
      <c r="Y137" s="68" t="s">
        <v>378</v>
      </c>
      <c r="Z137" s="41" t="s">
        <v>379</v>
      </c>
    </row>
    <row r="138" spans="1:26" ht="34.5" x14ac:dyDescent="0.75">
      <c r="A138" s="42">
        <v>37</v>
      </c>
      <c r="B138" s="1"/>
      <c r="C138" s="63">
        <v>134</v>
      </c>
      <c r="D138" s="108"/>
      <c r="E138" s="109"/>
      <c r="F138" s="19" t="s">
        <v>231</v>
      </c>
      <c r="G138" s="3"/>
      <c r="H138" s="5" t="s">
        <v>218</v>
      </c>
      <c r="I138" s="4">
        <v>43</v>
      </c>
      <c r="J138" s="2">
        <v>1</v>
      </c>
      <c r="K138" s="3" t="s">
        <v>19</v>
      </c>
      <c r="L138" s="3"/>
      <c r="M138" s="2">
        <v>1</v>
      </c>
      <c r="N138" s="4"/>
      <c r="O138" s="2">
        <v>1</v>
      </c>
      <c r="P138" s="2"/>
      <c r="Q138" s="3" t="s">
        <v>20</v>
      </c>
      <c r="R138" s="3">
        <v>50</v>
      </c>
      <c r="S138" s="3">
        <v>282</v>
      </c>
      <c r="T138" s="3">
        <f t="shared" si="4"/>
        <v>423</v>
      </c>
      <c r="U138" s="2"/>
      <c r="V138" s="5"/>
      <c r="W138" s="68" t="s">
        <v>373</v>
      </c>
      <c r="X138" s="68" t="s">
        <v>359</v>
      </c>
      <c r="Y138" s="68" t="s">
        <v>374</v>
      </c>
      <c r="Z138" s="41" t="s">
        <v>363</v>
      </c>
    </row>
    <row r="139" spans="1:26" x14ac:dyDescent="0.75">
      <c r="A139" s="42">
        <v>38</v>
      </c>
      <c r="B139" s="1"/>
      <c r="C139" s="63">
        <v>135</v>
      </c>
      <c r="D139" s="108" t="s">
        <v>401</v>
      </c>
      <c r="E139" s="109"/>
      <c r="F139" s="19" t="s">
        <v>232</v>
      </c>
      <c r="G139" s="3"/>
      <c r="H139" s="5" t="s">
        <v>248</v>
      </c>
      <c r="I139" s="4">
        <v>45</v>
      </c>
      <c r="J139" s="2">
        <v>1</v>
      </c>
      <c r="K139" s="3" t="s">
        <v>19</v>
      </c>
      <c r="L139" s="3"/>
      <c r="M139" s="2">
        <v>1</v>
      </c>
      <c r="N139" s="4"/>
      <c r="O139" s="2">
        <v>1</v>
      </c>
      <c r="P139" s="2"/>
      <c r="Q139" s="3" t="s">
        <v>20</v>
      </c>
      <c r="R139" s="3">
        <v>50</v>
      </c>
      <c r="S139" s="3"/>
      <c r="T139" s="3">
        <f t="shared" si="4"/>
        <v>0</v>
      </c>
      <c r="U139" s="2"/>
      <c r="V139" s="5"/>
      <c r="W139" s="68"/>
      <c r="X139" s="68"/>
      <c r="Y139" s="68"/>
      <c r="Z139" s="41" t="s">
        <v>383</v>
      </c>
    </row>
    <row r="140" spans="1:26" ht="23" x14ac:dyDescent="0.75">
      <c r="A140" s="116">
        <v>39</v>
      </c>
      <c r="B140" s="1"/>
      <c r="C140" s="63">
        <v>136</v>
      </c>
      <c r="D140" s="108" t="s">
        <v>402</v>
      </c>
      <c r="E140" s="109"/>
      <c r="F140" s="19">
        <v>16070</v>
      </c>
      <c r="G140" s="3"/>
      <c r="H140" s="5" t="s">
        <v>79</v>
      </c>
      <c r="I140" s="4" t="s">
        <v>240</v>
      </c>
      <c r="J140" s="2">
        <v>0.05</v>
      </c>
      <c r="K140" s="3" t="s">
        <v>19</v>
      </c>
      <c r="L140" s="3"/>
      <c r="M140" s="2">
        <v>0.05</v>
      </c>
      <c r="N140" s="4"/>
      <c r="O140" s="2">
        <v>1</v>
      </c>
      <c r="P140" s="2"/>
      <c r="Q140" s="3" t="s">
        <v>20</v>
      </c>
      <c r="R140" s="3">
        <v>50</v>
      </c>
      <c r="S140" s="3">
        <v>18.399999999999999</v>
      </c>
      <c r="T140" s="3">
        <f t="shared" si="4"/>
        <v>27.599999999999998</v>
      </c>
      <c r="U140" s="3" t="s">
        <v>20</v>
      </c>
      <c r="V140" s="5"/>
      <c r="W140" s="68" t="s">
        <v>338</v>
      </c>
      <c r="X140" s="68" t="s">
        <v>329</v>
      </c>
      <c r="Y140" s="68" t="s">
        <v>339</v>
      </c>
      <c r="Z140" s="41" t="s">
        <v>80</v>
      </c>
    </row>
    <row r="141" spans="1:26" ht="23" x14ac:dyDescent="0.75">
      <c r="A141" s="117"/>
      <c r="B141" s="1"/>
      <c r="C141" s="63">
        <v>137</v>
      </c>
      <c r="D141" s="108"/>
      <c r="E141" s="109"/>
      <c r="F141" s="19" t="s">
        <v>81</v>
      </c>
      <c r="G141" s="3"/>
      <c r="H141" s="5" t="s">
        <v>79</v>
      </c>
      <c r="I141" s="4" t="s">
        <v>240</v>
      </c>
      <c r="J141" s="2">
        <v>0.05</v>
      </c>
      <c r="K141" s="3" t="s">
        <v>19</v>
      </c>
      <c r="L141" s="3"/>
      <c r="M141" s="2">
        <v>0.05</v>
      </c>
      <c r="N141" s="4"/>
      <c r="O141" s="2">
        <v>1</v>
      </c>
      <c r="P141" s="2"/>
      <c r="Q141" s="3" t="s">
        <v>20</v>
      </c>
      <c r="R141" s="3">
        <v>50</v>
      </c>
      <c r="S141" s="3">
        <v>18.399999999999999</v>
      </c>
      <c r="T141" s="3">
        <f t="shared" si="4"/>
        <v>27.599999999999998</v>
      </c>
      <c r="U141" s="3" t="s">
        <v>20</v>
      </c>
      <c r="V141" s="5"/>
      <c r="W141" s="68" t="s">
        <v>19</v>
      </c>
      <c r="X141" s="68" t="s">
        <v>313</v>
      </c>
      <c r="Y141" s="68" t="s">
        <v>337</v>
      </c>
      <c r="Z141" s="41" t="s">
        <v>80</v>
      </c>
    </row>
    <row r="142" spans="1:26" s="91" customFormat="1" ht="21.5" x14ac:dyDescent="0.75">
      <c r="A142" s="93">
        <v>40</v>
      </c>
      <c r="B142" s="94"/>
      <c r="C142" s="82"/>
      <c r="D142" s="82"/>
      <c r="E142" s="82"/>
      <c r="F142" s="94" t="s">
        <v>408</v>
      </c>
      <c r="G142" s="84"/>
      <c r="H142" s="95" t="s">
        <v>409</v>
      </c>
      <c r="I142" s="96" t="s">
        <v>244</v>
      </c>
      <c r="J142" s="97">
        <v>1</v>
      </c>
      <c r="K142" s="94" t="s">
        <v>19</v>
      </c>
      <c r="L142" s="97">
        <v>1</v>
      </c>
      <c r="M142" s="94"/>
      <c r="N142" s="98">
        <v>1</v>
      </c>
      <c r="O142" s="94" t="s">
        <v>410</v>
      </c>
      <c r="P142" s="94"/>
      <c r="Q142" s="94" t="s">
        <v>20</v>
      </c>
      <c r="R142" s="94">
        <v>50</v>
      </c>
      <c r="S142" s="94">
        <v>150</v>
      </c>
      <c r="T142" s="94">
        <v>225</v>
      </c>
      <c r="U142" s="94" t="s">
        <v>20</v>
      </c>
      <c r="V142" s="95"/>
      <c r="W142" s="99"/>
      <c r="X142" s="99"/>
      <c r="Y142" s="99"/>
      <c r="Z142" s="100"/>
    </row>
    <row r="143" spans="1:26" x14ac:dyDescent="0.75">
      <c r="A143" s="44"/>
      <c r="B143" s="45"/>
      <c r="C143" s="63"/>
      <c r="D143" s="63"/>
      <c r="E143" s="63"/>
      <c r="F143" s="45"/>
      <c r="G143" s="3"/>
      <c r="H143" s="46"/>
      <c r="I143" s="47"/>
      <c r="J143" s="48"/>
      <c r="K143" s="45"/>
      <c r="L143" s="48"/>
      <c r="M143" s="45"/>
      <c r="N143" s="49"/>
      <c r="O143" s="48"/>
      <c r="P143" s="48"/>
      <c r="Q143" s="45"/>
      <c r="R143" s="45"/>
      <c r="S143" s="45"/>
      <c r="T143" s="45"/>
      <c r="U143" s="45"/>
      <c r="V143" s="46"/>
      <c r="W143" s="66"/>
      <c r="X143" s="66"/>
      <c r="Y143" s="66"/>
      <c r="Z143" s="50"/>
    </row>
    <row r="144" spans="1:26" x14ac:dyDescent="0.75">
      <c r="A144" s="44"/>
      <c r="B144" s="45"/>
      <c r="C144" s="63"/>
      <c r="D144" s="63"/>
      <c r="E144" s="63"/>
      <c r="F144" s="45"/>
      <c r="G144" s="3"/>
      <c r="H144" s="46"/>
      <c r="I144" s="47"/>
      <c r="J144" s="48"/>
      <c r="K144" s="45"/>
      <c r="L144" s="48"/>
      <c r="M144" s="45"/>
      <c r="N144" s="49"/>
      <c r="O144" s="48"/>
      <c r="P144" s="48"/>
      <c r="Q144" s="45"/>
      <c r="R144" s="45"/>
      <c r="S144" s="45"/>
      <c r="T144" s="45"/>
      <c r="U144" s="45"/>
      <c r="V144" s="46"/>
      <c r="W144" s="66"/>
      <c r="X144" s="66"/>
      <c r="Y144" s="66"/>
      <c r="Z144" s="50"/>
    </row>
    <row r="145" spans="1:26" x14ac:dyDescent="0.75">
      <c r="A145" s="44"/>
      <c r="B145" s="45"/>
      <c r="C145" s="63"/>
      <c r="D145" s="63"/>
      <c r="E145" s="63"/>
      <c r="F145" s="45"/>
      <c r="G145" s="3"/>
      <c r="H145" s="46"/>
      <c r="I145" s="47"/>
      <c r="J145" s="48"/>
      <c r="K145" s="45"/>
      <c r="L145" s="48"/>
      <c r="M145" s="45"/>
      <c r="N145" s="49"/>
      <c r="O145" s="48"/>
      <c r="P145" s="48"/>
      <c r="Q145" s="45"/>
      <c r="R145" s="45"/>
      <c r="S145" s="45"/>
      <c r="T145" s="45"/>
      <c r="U145" s="45"/>
      <c r="V145" s="46"/>
      <c r="W145" s="66"/>
      <c r="X145" s="66"/>
      <c r="Y145" s="66"/>
      <c r="Z145" s="50"/>
    </row>
    <row r="146" spans="1:26" customFormat="1" ht="21.5" x14ac:dyDescent="0.75">
      <c r="A146" s="44"/>
      <c r="B146" s="45"/>
      <c r="C146" s="63"/>
      <c r="D146" s="63"/>
      <c r="E146" s="63"/>
      <c r="F146" s="51"/>
      <c r="G146" s="58"/>
      <c r="H146" s="46"/>
      <c r="I146" s="47"/>
      <c r="J146" s="48"/>
      <c r="K146" s="45"/>
      <c r="L146" s="45"/>
      <c r="M146" s="48"/>
      <c r="N146" s="47"/>
      <c r="O146" s="48"/>
      <c r="P146" s="48"/>
      <c r="Q146" s="45"/>
      <c r="R146" s="45"/>
      <c r="S146" s="45"/>
      <c r="T146" s="45"/>
      <c r="U146" s="48"/>
      <c r="V146" s="46"/>
      <c r="W146" s="66"/>
      <c r="X146" s="66"/>
      <c r="Y146" s="66"/>
      <c r="Z146" s="50"/>
    </row>
    <row r="147" spans="1:26" x14ac:dyDescent="0.75">
      <c r="A147" s="44"/>
      <c r="B147" s="45"/>
      <c r="C147" s="63"/>
      <c r="D147" s="63"/>
      <c r="E147" s="63"/>
      <c r="F147" s="45"/>
      <c r="G147" s="3"/>
      <c r="H147" s="46"/>
      <c r="I147" s="47"/>
      <c r="J147" s="48"/>
      <c r="K147" s="45"/>
      <c r="L147" s="45"/>
      <c r="M147" s="48"/>
      <c r="N147" s="47"/>
      <c r="O147" s="48"/>
      <c r="P147" s="48"/>
      <c r="Q147" s="45"/>
      <c r="R147" s="45"/>
      <c r="S147" s="45"/>
      <c r="T147" s="45"/>
      <c r="U147" s="48"/>
      <c r="V147" s="46"/>
      <c r="W147" s="66"/>
      <c r="X147" s="66"/>
      <c r="Y147" s="66"/>
      <c r="Z147" s="50"/>
    </row>
    <row r="148" spans="1:26" ht="21.5" x14ac:dyDescent="0.75">
      <c r="A148" s="76"/>
      <c r="B148" s="45"/>
      <c r="C148" s="63"/>
      <c r="D148" s="63"/>
      <c r="E148" s="63"/>
      <c r="F148" s="45"/>
      <c r="G148" s="3"/>
      <c r="H148" s="46"/>
      <c r="I148" s="47"/>
      <c r="J148" s="48"/>
      <c r="K148" s="45"/>
      <c r="L148" s="45"/>
      <c r="M148" s="48"/>
      <c r="N148" s="77"/>
      <c r="O148" s="48"/>
      <c r="P148" s="48"/>
      <c r="Q148" s="45"/>
      <c r="R148" s="45"/>
      <c r="S148" s="47"/>
      <c r="T148" s="45"/>
      <c r="U148" s="48"/>
      <c r="V148" s="46"/>
      <c r="W148" s="66"/>
      <c r="X148" s="66"/>
      <c r="Y148" s="66"/>
      <c r="Z148" s="50"/>
    </row>
    <row r="149" spans="1:26" x14ac:dyDescent="0.75">
      <c r="H149" s="14"/>
      <c r="J149" s="59"/>
      <c r="M149" s="59"/>
      <c r="O149" s="59"/>
      <c r="P149" s="59"/>
    </row>
    <row r="150" spans="1:26" x14ac:dyDescent="0.75">
      <c r="H150" s="14"/>
      <c r="J150" s="59"/>
      <c r="M150" s="59"/>
      <c r="O150" s="59"/>
      <c r="P150" s="59"/>
    </row>
    <row r="158" spans="1:26" x14ac:dyDescent="0.3">
      <c r="A158" s="26" t="s">
        <v>283</v>
      </c>
      <c r="C158" s="26"/>
      <c r="D158" s="26"/>
      <c r="E158" s="26"/>
    </row>
    <row r="159" spans="1:26" ht="12.5" x14ac:dyDescent="0.25">
      <c r="A159" s="27" t="s">
        <v>287</v>
      </c>
      <c r="C159" s="27"/>
      <c r="D159" s="27"/>
      <c r="E159" s="27"/>
    </row>
    <row r="160" spans="1:26" ht="12.5" x14ac:dyDescent="0.25">
      <c r="A160" s="27" t="s">
        <v>288</v>
      </c>
      <c r="C160" s="27"/>
      <c r="D160" s="27"/>
      <c r="E160" s="27"/>
    </row>
    <row r="161" spans="1:5" ht="12.5" x14ac:dyDescent="0.25">
      <c r="A161" s="27" t="s">
        <v>284</v>
      </c>
      <c r="C161" s="27"/>
      <c r="D161" s="27"/>
      <c r="E161" s="27"/>
    </row>
    <row r="162" spans="1:5" ht="12.5" x14ac:dyDescent="0.25">
      <c r="A162" s="28" t="s">
        <v>285</v>
      </c>
      <c r="C162" s="28"/>
      <c r="D162" s="28"/>
      <c r="E162" s="28"/>
    </row>
    <row r="163" spans="1:5" ht="12.5" x14ac:dyDescent="0.75">
      <c r="A163" s="21" t="s">
        <v>286</v>
      </c>
      <c r="C163" s="21"/>
      <c r="D163" s="21"/>
      <c r="E163" s="21"/>
    </row>
  </sheetData>
  <autoFilter ref="F1:H163" xr:uid="{00000000-0009-0000-0000-000000000000}"/>
  <mergeCells count="110">
    <mergeCell ref="D140:E141"/>
    <mergeCell ref="D127:E127"/>
    <mergeCell ref="D128:E134"/>
    <mergeCell ref="D135:E135"/>
    <mergeCell ref="D136:E136"/>
    <mergeCell ref="D137:E138"/>
    <mergeCell ref="D139:E139"/>
    <mergeCell ref="D94:D95"/>
    <mergeCell ref="E94:E95"/>
    <mergeCell ref="D96:E101"/>
    <mergeCell ref="D102:E102"/>
    <mergeCell ref="D121:E121"/>
    <mergeCell ref="D103:E105"/>
    <mergeCell ref="D106:E108"/>
    <mergeCell ref="D110:E110"/>
    <mergeCell ref="D120:E120"/>
    <mergeCell ref="D118:E119"/>
    <mergeCell ref="D113:E115"/>
    <mergeCell ref="D116:E117"/>
    <mergeCell ref="D111:E112"/>
    <mergeCell ref="D10:E12"/>
    <mergeCell ref="D13:E14"/>
    <mergeCell ref="D23:E23"/>
    <mergeCell ref="D31:E33"/>
    <mergeCell ref="D25:E30"/>
    <mergeCell ref="E42:E43"/>
    <mergeCell ref="D58:D59"/>
    <mergeCell ref="E58:E59"/>
    <mergeCell ref="D92:D93"/>
    <mergeCell ref="E92:E93"/>
    <mergeCell ref="E71:E74"/>
    <mergeCell ref="D76:D78"/>
    <mergeCell ref="E76:E78"/>
    <mergeCell ref="E85:E88"/>
    <mergeCell ref="D60:E61"/>
    <mergeCell ref="D49:D51"/>
    <mergeCell ref="E49:E51"/>
    <mergeCell ref="D67:E67"/>
    <mergeCell ref="D53:D55"/>
    <mergeCell ref="E56:E57"/>
    <mergeCell ref="D38:E38"/>
    <mergeCell ref="D81:D84"/>
    <mergeCell ref="E81:E84"/>
    <mergeCell ref="D85:D88"/>
    <mergeCell ref="J1:Q1"/>
    <mergeCell ref="A116:A117"/>
    <mergeCell ref="B116:B117"/>
    <mergeCell ref="A118:A119"/>
    <mergeCell ref="A123:A124"/>
    <mergeCell ref="A85:A91"/>
    <mergeCell ref="D24:E24"/>
    <mergeCell ref="A49:A55"/>
    <mergeCell ref="B96:B101"/>
    <mergeCell ref="A56:A61"/>
    <mergeCell ref="A62:A67"/>
    <mergeCell ref="A68:A78"/>
    <mergeCell ref="B68:B70"/>
    <mergeCell ref="D1:E1"/>
    <mergeCell ref="D3:E9"/>
    <mergeCell ref="A81:A84"/>
    <mergeCell ref="B81:B84"/>
    <mergeCell ref="A3:A9"/>
    <mergeCell ref="A10:A15"/>
    <mergeCell ref="A16:A33"/>
    <mergeCell ref="A34:A39"/>
    <mergeCell ref="A40:A48"/>
    <mergeCell ref="D34:E37"/>
    <mergeCell ref="D42:D43"/>
    <mergeCell ref="A130:A133"/>
    <mergeCell ref="B130:B133"/>
    <mergeCell ref="A140:A141"/>
    <mergeCell ref="B106:B108"/>
    <mergeCell ref="A113:A115"/>
    <mergeCell ref="B113:B115"/>
    <mergeCell ref="A125:A126"/>
    <mergeCell ref="B125:B126"/>
    <mergeCell ref="A103:A105"/>
    <mergeCell ref="B103:B105"/>
    <mergeCell ref="A106:A108"/>
    <mergeCell ref="A128:A129"/>
    <mergeCell ref="B128:B129"/>
    <mergeCell ref="A111:A112"/>
    <mergeCell ref="D15:E15"/>
    <mergeCell ref="D16:E16"/>
    <mergeCell ref="D17:E18"/>
    <mergeCell ref="D19:E19"/>
    <mergeCell ref="D22:E22"/>
    <mergeCell ref="D20:E21"/>
    <mergeCell ref="D89:D91"/>
    <mergeCell ref="E89:E91"/>
    <mergeCell ref="D45:D48"/>
    <mergeCell ref="E45:E48"/>
    <mergeCell ref="D71:D74"/>
    <mergeCell ref="D39:E39"/>
    <mergeCell ref="D80:E80"/>
    <mergeCell ref="D62:E66"/>
    <mergeCell ref="D68:D70"/>
    <mergeCell ref="E53:E55"/>
    <mergeCell ref="E68:E70"/>
    <mergeCell ref="D56:D57"/>
    <mergeCell ref="P106:P108"/>
    <mergeCell ref="P103:P105"/>
    <mergeCell ref="P96:P101"/>
    <mergeCell ref="B71:B78"/>
    <mergeCell ref="B85:B91"/>
    <mergeCell ref="A92:A95"/>
    <mergeCell ref="B92:B95"/>
    <mergeCell ref="A96:A101"/>
    <mergeCell ref="D123:E126"/>
    <mergeCell ref="C111:C112"/>
  </mergeCells>
  <hyperlinks>
    <hyperlink ref="A80" r:id="rId1" display="RCR-STD-11.xls" xr:uid="{00000000-0004-0000-0000-000000000000}"/>
    <hyperlink ref="A102" r:id="rId2" display="RCR-STD-16.xls" xr:uid="{00000000-0004-0000-0000-000001000000}"/>
    <hyperlink ref="A109" r:id="rId3" display="RCR-STD-19.xls" xr:uid="{00000000-0004-0000-0000-000002000000}"/>
    <hyperlink ref="A110" r:id="rId4" display="RCR-STD-20.xls" xr:uid="{00000000-0004-0000-0000-000003000000}"/>
    <hyperlink ref="A111" r:id="rId5" display="RCR-STD-21.xls" xr:uid="{00000000-0004-0000-0000-000004000000}"/>
    <hyperlink ref="A120" r:id="rId6" display="RCR-STD-25.xls" xr:uid="{00000000-0004-0000-0000-000005000000}"/>
    <hyperlink ref="A121" r:id="rId7" display="RCR-STD-26.xls" xr:uid="{00000000-0004-0000-0000-000006000000}"/>
    <hyperlink ref="A122" r:id="rId8" display="RCR-STD-27.xls" xr:uid="{00000000-0004-0000-0000-000007000000}"/>
    <hyperlink ref="A127" r:id="rId9" display="RCR-STD-30.xls" xr:uid="{00000000-0004-0000-0000-000009000000}"/>
    <hyperlink ref="A134" r:id="rId10" display="RCR-STD-33.xls" xr:uid="{00000000-0004-0000-0000-00000A000000}"/>
    <hyperlink ref="A135" r:id="rId11" display="RCR-STD-34.xls" xr:uid="{00000000-0004-0000-0000-00000B000000}"/>
    <hyperlink ref="A136" r:id="rId12" display="RCR-STD-35.xls" xr:uid="{00000000-0004-0000-0000-00000C000000}"/>
    <hyperlink ref="A137" r:id="rId13" display="RCR-STD-36.xls" xr:uid="{00000000-0004-0000-0000-00000D000000}"/>
    <hyperlink ref="A138" r:id="rId14" display="RCR-STD-37.xls" xr:uid="{00000000-0004-0000-0000-00000E000000}"/>
    <hyperlink ref="A139" r:id="rId15" display="RCR-STD-38.xls" xr:uid="{00000000-0004-0000-0000-00000F000000}"/>
    <hyperlink ref="A142" r:id="rId16" display="\\Pttgc.corp\sgcfs\T-IR\07 T-IR-SE\01.Admin-General\1.6 Welding QA\STD RCR\AR1\RCR-STD-40.xls" xr:uid="{00000000-0004-0000-0000-000010000000}"/>
    <hyperlink ref="A10:A15" r:id="rId17" display="RCR-STD-02.xls" xr:uid="{00000000-0004-0000-0000-000015000000}"/>
    <hyperlink ref="A40:A48" r:id="rId18" display="RCR-STD-05.xls" xr:uid="{00000000-0004-0000-0000-000016000000}"/>
    <hyperlink ref="A49:A55" r:id="rId19" display="RCR-STD-06.xls" xr:uid="{00000000-0004-0000-0000-000017000000}"/>
    <hyperlink ref="A56:A61" r:id="rId20" display="RCR-STD-07.xls" xr:uid="{00000000-0004-0000-0000-000018000000}"/>
    <hyperlink ref="A68:A70" r:id="rId21" display="..\RCR CS\STD_RCR_09.xls" xr:uid="{00000000-0004-0000-0000-000019000000}"/>
    <hyperlink ref="A81:A84" r:id="rId22" display="RCR-STD-12.xls" xr:uid="{00000000-0004-0000-0000-00001A000000}"/>
    <hyperlink ref="A85:A91" r:id="rId23" display="RCR-STD-13.xls" xr:uid="{00000000-0004-0000-0000-00001B000000}"/>
    <hyperlink ref="A92:A95" r:id="rId24" display="RCR-STD-14.xls" xr:uid="{00000000-0004-0000-0000-00001C000000}"/>
    <hyperlink ref="A96:A101" r:id="rId25" display="RCR-STD-15.xls" xr:uid="{00000000-0004-0000-0000-00001D000000}"/>
    <hyperlink ref="A103:A105" r:id="rId26" display="RCR-STD-17.xls" xr:uid="{00000000-0004-0000-0000-00001E000000}"/>
    <hyperlink ref="A106:A108" r:id="rId27" display="RCR-STD-18.xls" xr:uid="{00000000-0004-0000-0000-00001F000000}"/>
    <hyperlink ref="A113:A115" r:id="rId28" display="RCR-STD-22.xls" xr:uid="{00000000-0004-0000-0000-000020000000}"/>
    <hyperlink ref="A116:A117" r:id="rId29" display="RCR-STD-23.xls" xr:uid="{00000000-0004-0000-0000-000021000000}"/>
    <hyperlink ref="A118:A119" r:id="rId30" display="RCR-STD-24.xls" xr:uid="{00000000-0004-0000-0000-000022000000}"/>
    <hyperlink ref="A123:A124" r:id="rId31" display="RCR-STD-28.xls" xr:uid="{00000000-0004-0000-0000-000023000000}"/>
    <hyperlink ref="A125:A126" r:id="rId32" display="RCR-STD-29.xls" xr:uid="{00000000-0004-0000-0000-000024000000}"/>
    <hyperlink ref="A128:A129" r:id="rId33" display="RCR-STD-31.xls" xr:uid="{00000000-0004-0000-0000-000025000000}"/>
    <hyperlink ref="A130:A133" r:id="rId34" display="RCR-STD-32.xls" xr:uid="{00000000-0004-0000-0000-000026000000}"/>
    <hyperlink ref="A140:A141" r:id="rId35" display="RCR-STD-39.xls" xr:uid="{00000000-0004-0000-0000-000027000000}"/>
    <hyperlink ref="A79" r:id="rId36" display="\\Pttgc.corp\sgcfs\T-IR\07 T-IR-SE\01.Admin-General\1.6 Welding QA\STD RCR\AR1\RCR-STD-10.xls" xr:uid="{00000000-0004-0000-0000-000028000000}"/>
    <hyperlink ref="A68:A78" r:id="rId37" display="RCR-STD-09.xls" xr:uid="{00000000-0004-0000-0000-00002A000000}"/>
    <hyperlink ref="D10:E12" r:id="rId38" display="RCR-GW-01" xr:uid="{00000000-0004-0000-0000-00002B000000}"/>
    <hyperlink ref="D13:E14" r:id="rId39" display="RCR-GW-03" xr:uid="{00000000-0004-0000-0000-00002C000000}"/>
    <hyperlink ref="D15:E15" r:id="rId40" display="RCR-GW-01" xr:uid="{00000000-0004-0000-0000-00002D000000}"/>
    <hyperlink ref="D16:E16" r:id="rId41" display="RCR-GW-03" xr:uid="{00000000-0004-0000-0000-00002E000000}"/>
    <hyperlink ref="D17:E18" r:id="rId42" display="RCR-GW-01" xr:uid="{00000000-0004-0000-0000-00002F000000}"/>
    <hyperlink ref="D19:E19" r:id="rId43" display="RCR-GW-03" xr:uid="{00000000-0004-0000-0000-000030000000}"/>
    <hyperlink ref="D20:E21" r:id="rId44" display="RCR-GW-01" xr:uid="{00000000-0004-0000-0000-000031000000}"/>
    <hyperlink ref="D22:E22" r:id="rId45" display="RCR-GW-03" xr:uid="{00000000-0004-0000-0000-000032000000}"/>
    <hyperlink ref="D23:E23" r:id="rId46" display="RCR-GW-01" xr:uid="{00000000-0004-0000-0000-000033000000}"/>
    <hyperlink ref="D24:E24" r:id="rId47" display="RCR-GW-05" xr:uid="{00000000-0004-0000-0000-000034000000}"/>
    <hyperlink ref="D25:E30" r:id="rId48" display="RCR-GW-01" xr:uid="{00000000-0004-0000-0000-000035000000}"/>
    <hyperlink ref="D31:E33" r:id="rId49" display="RCR-GW-03" xr:uid="{00000000-0004-0000-0000-000036000000}"/>
    <hyperlink ref="D34:E37" r:id="rId50" display="RCR-GW-04" xr:uid="{00000000-0004-0000-0000-000037000000}"/>
    <hyperlink ref="D38:E38" r:id="rId51" display="RCR-GW-01" xr:uid="{00000000-0004-0000-0000-000038000000}"/>
    <hyperlink ref="D39:E39" r:id="rId52" display="RCR-GW-02" xr:uid="{00000000-0004-0000-0000-000039000000}"/>
    <hyperlink ref="D40" r:id="rId53" xr:uid="{00000000-0004-0000-0000-00003A000000}"/>
    <hyperlink ref="E40" r:id="rId54" xr:uid="{00000000-0004-0000-0000-00003B000000}"/>
    <hyperlink ref="D41" r:id="rId55" xr:uid="{00000000-0004-0000-0000-00003C000000}"/>
    <hyperlink ref="E41" r:id="rId56" xr:uid="{00000000-0004-0000-0000-00003D000000}"/>
    <hyperlink ref="D42:D43" r:id="rId57" display="RCR-GW-01" xr:uid="{00000000-0004-0000-0000-00003E000000}"/>
    <hyperlink ref="E42:E43" r:id="rId58" display="RCR-GW-02" xr:uid="{00000000-0004-0000-0000-00003F000000}"/>
    <hyperlink ref="D44" r:id="rId59" xr:uid="{00000000-0004-0000-0000-000040000000}"/>
    <hyperlink ref="E44" r:id="rId60" xr:uid="{00000000-0004-0000-0000-000041000000}"/>
    <hyperlink ref="D45:D48" r:id="rId61" display="RCR-GW-01" xr:uid="{00000000-0004-0000-0000-000042000000}"/>
    <hyperlink ref="E45:E48" r:id="rId62" display="RCR-GW-02" xr:uid="{00000000-0004-0000-0000-000043000000}"/>
    <hyperlink ref="D49:D51" r:id="rId63" display="RCR-GW-03" xr:uid="{00000000-0004-0000-0000-000044000000}"/>
    <hyperlink ref="E49:E51" r:id="rId64" display="RCR-GW-04" xr:uid="{00000000-0004-0000-0000-000045000000}"/>
    <hyperlink ref="D52" r:id="rId65" xr:uid="{00000000-0004-0000-0000-000046000000}"/>
    <hyperlink ref="E52" r:id="rId66" xr:uid="{00000000-0004-0000-0000-000047000000}"/>
    <hyperlink ref="D53:D55" r:id="rId67" display="RCR-GW-03" xr:uid="{00000000-0004-0000-0000-000048000000}"/>
    <hyperlink ref="E53:E55" r:id="rId68" display="RCR-GW-04" xr:uid="{00000000-0004-0000-0000-000049000000}"/>
    <hyperlink ref="D56:D57" r:id="rId69" display="RCR-GW-01" xr:uid="{00000000-0004-0000-0000-00004A000000}"/>
    <hyperlink ref="E56:E57" r:id="rId70" display="RCR-GW-02" xr:uid="{00000000-0004-0000-0000-00004B000000}"/>
    <hyperlink ref="D58:D59" r:id="rId71" display="RCR-GW-03" xr:uid="{00000000-0004-0000-0000-00004C000000}"/>
    <hyperlink ref="E58:E59" r:id="rId72" display="RCR-GW-04" xr:uid="{00000000-0004-0000-0000-00004D000000}"/>
    <hyperlink ref="D60:E61" r:id="rId73" display="RCR-GW-05" xr:uid="{00000000-0004-0000-0000-00004E000000}"/>
    <hyperlink ref="D62:E66" r:id="rId74" display="RCR-GW-04" xr:uid="{00000000-0004-0000-0000-00004F000000}"/>
    <hyperlink ref="D67:E67" r:id="rId75" display="RCR-GW-02" xr:uid="{00000000-0004-0000-0000-000050000000}"/>
    <hyperlink ref="D68:D70" r:id="rId76" display="RCR-GW-01" xr:uid="{00000000-0004-0000-0000-000051000000}"/>
    <hyperlink ref="E68:E70" r:id="rId77" display="RCR-GW-02" xr:uid="{00000000-0004-0000-0000-000052000000}"/>
    <hyperlink ref="D71:D74" r:id="rId78" display="RCR-GW-03" xr:uid="{00000000-0004-0000-0000-000053000000}"/>
    <hyperlink ref="E71:E74" r:id="rId79" display="RCR-GW-04" xr:uid="{00000000-0004-0000-0000-000054000000}"/>
    <hyperlink ref="D75" r:id="rId80" xr:uid="{00000000-0004-0000-0000-000055000000}"/>
    <hyperlink ref="E75" r:id="rId81" xr:uid="{00000000-0004-0000-0000-000056000000}"/>
    <hyperlink ref="D76:D78" r:id="rId82" display="RCR-GW-03" xr:uid="{00000000-0004-0000-0000-000057000000}"/>
    <hyperlink ref="E76:E78" r:id="rId83" display="RCR-GW-04" xr:uid="{00000000-0004-0000-0000-000058000000}"/>
    <hyperlink ref="D80:E80" r:id="rId84" display="RCR-GW-05" xr:uid="{00000000-0004-0000-0000-000059000000}"/>
    <hyperlink ref="D81:D84" r:id="rId85" display="RCR-GW-01" xr:uid="{00000000-0004-0000-0000-00005A000000}"/>
    <hyperlink ref="E81:E84" r:id="rId86" display="RCR-GW-02" xr:uid="{00000000-0004-0000-0000-00005B000000}"/>
    <hyperlink ref="D85:D88" r:id="rId87" display="RCR-GW-01" xr:uid="{00000000-0004-0000-0000-00005C000000}"/>
    <hyperlink ref="E85:E88" r:id="rId88" display="RCR-GW-02" xr:uid="{00000000-0004-0000-0000-00005D000000}"/>
    <hyperlink ref="D89:D91" r:id="rId89" display="RCR-GW-03" xr:uid="{00000000-0004-0000-0000-00005E000000}"/>
    <hyperlink ref="E89:E91" r:id="rId90" display="RCR-GW-04" xr:uid="{00000000-0004-0000-0000-00005F000000}"/>
    <hyperlink ref="D92:D93" r:id="rId91" display="RCR-GW-01" xr:uid="{00000000-0004-0000-0000-000060000000}"/>
    <hyperlink ref="E92:E93" r:id="rId92" display="RCR-GW-02" xr:uid="{00000000-0004-0000-0000-000061000000}"/>
    <hyperlink ref="D94:D95" r:id="rId93" display="RCR-GW-03" xr:uid="{00000000-0004-0000-0000-000062000000}"/>
    <hyperlink ref="E94:E95" r:id="rId94" display="RCR-GW-04" xr:uid="{00000000-0004-0000-0000-000063000000}"/>
    <hyperlink ref="D96:E101" r:id="rId95" display="RCR-GW-10" xr:uid="{00000000-0004-0000-0000-000064000000}"/>
    <hyperlink ref="D102:E102" r:id="rId96" display="RCR-GW-11" xr:uid="{00000000-0004-0000-0000-000065000000}"/>
    <hyperlink ref="D103:E105" r:id="rId97" display="RCR-GW-10" xr:uid="{00000000-0004-0000-0000-000066000000}"/>
    <hyperlink ref="D106:E108" r:id="rId98" display="RCR-GW-11" xr:uid="{00000000-0004-0000-0000-000067000000}"/>
    <hyperlink ref="D110:E110" r:id="rId99" display="RCR-GW-10" xr:uid="{00000000-0004-0000-0000-000068000000}"/>
    <hyperlink ref="D113:E115" r:id="rId100" display="RCR-GW-11" xr:uid="{00000000-0004-0000-0000-00006A000000}"/>
    <hyperlink ref="D116:E117" r:id="rId101" display="RCR-GW-11" xr:uid="{00000000-0004-0000-0000-00006B000000}"/>
    <hyperlink ref="D118:E119" r:id="rId102" display="RCR-GW-10" xr:uid="{00000000-0004-0000-0000-00006C000000}"/>
    <hyperlink ref="D120:E120" r:id="rId103" display="RCR-GW-10" xr:uid="{00000000-0004-0000-0000-00006D000000}"/>
    <hyperlink ref="D121:E121" r:id="rId104" display="RCR-GW-11" xr:uid="{00000000-0004-0000-0000-00006E000000}"/>
    <hyperlink ref="D123:E126" r:id="rId105" display="RCR-GW-06" xr:uid="{00000000-0004-0000-0000-00006F000000}"/>
    <hyperlink ref="D127:E127" r:id="rId106" display="RCR-GW-07" xr:uid="{00000000-0004-0000-0000-000070000000}"/>
    <hyperlink ref="D128:E134" r:id="rId107" display="RCR-GW-08" xr:uid="{00000000-0004-0000-0000-000071000000}"/>
    <hyperlink ref="D135:E135" r:id="rId108" display="RCR-GW-09" xr:uid="{00000000-0004-0000-0000-000072000000}"/>
    <hyperlink ref="D136:E136" r:id="rId109" display="RCR-GW-12" xr:uid="{00000000-0004-0000-0000-000073000000}"/>
    <hyperlink ref="D137:E138" r:id="rId110" display="RCR-GW-13" xr:uid="{00000000-0004-0000-0000-000074000000}"/>
    <hyperlink ref="D139:E139" r:id="rId111" display="RCR-GW-15" xr:uid="{00000000-0004-0000-0000-000075000000}"/>
    <hyperlink ref="D140:E141" r:id="rId112" display="RCR-GW-14" xr:uid="{00000000-0004-0000-0000-000076000000}"/>
    <hyperlink ref="A3:A9" r:id="rId113" display="\\Pttgc.corp\sgcfs\T-IR\07 T-IR-SE\01.Admin-General\1.6 Welding QA\STD RCR\AR1\RCR-STD-01.xls" xr:uid="{00000000-0004-0000-0000-000077000000}"/>
    <hyperlink ref="A16:A33" r:id="rId114" display="\\Pttgc.corp\sgcfs\T-IR\07 T-IR-SE\01.Admin-General\1.6 Welding QA\STD RCR\AR1\RCR-STD-03.xls" xr:uid="{00000000-0004-0000-0000-000078000000}"/>
    <hyperlink ref="A34:A39" r:id="rId115" display="\\Pttgc.corp\sgcfs\T-IR\07 T-IR-SE\01.Admin-General\1.6 Welding QA\STD RCR\AR1\RCR-STD-04.xls" xr:uid="{00000000-0004-0000-0000-000079000000}"/>
    <hyperlink ref="A62:A67" r:id="rId116" display="\\Pttgc.corp\sgcfs\T-IR\07 T-IR-SE\01.Admin-General\1.6 Welding QA\STD RCR\AR1\RCR-STD-08.xls" xr:uid="{00000000-0004-0000-0000-00007A000000}"/>
  </hyperlinks>
  <pageMargins left="0.15748031496063" right="0.15748031496063" top="0.59055118110236204" bottom="0.39370078740157499" header="0.511811023622047" footer="0.31496062992126"/>
  <pageSetup paperSize="9" scale="84" orientation="landscape" horizontalDpi="1200" verticalDpi="1200" r:id="rId117"/>
  <headerFooter alignWithMargins="0"/>
  <customProperties>
    <customPr name="EpmWorksheetKeyString_GUID" r:id="rId118"/>
  </customProperties>
  <legacyDrawing r:id="rId1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total (2)</vt:lpstr>
      <vt:lpstr>'total (2)'!Print_Titles</vt:lpstr>
    </vt:vector>
  </TitlesOfParts>
  <Company>xxxx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Watchareeporn Wo &lt;T-II-IP2&gt;</cp:lastModifiedBy>
  <cp:lastPrinted>2007-08-29T08:42:28Z</cp:lastPrinted>
  <dcterms:created xsi:type="dcterms:W3CDTF">2006-06-10T03:15:10Z</dcterms:created>
  <dcterms:modified xsi:type="dcterms:W3CDTF">2026-05-07T07:15:54Z</dcterms:modified>
</cp:coreProperties>
</file>